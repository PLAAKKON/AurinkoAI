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ai_juttuja\"/>
    </mc:Choice>
  </mc:AlternateContent>
  <xr:revisionPtr revIDLastSave="0" documentId="13_ncr:1_{B35AAABE-3565-40B3-B6DE-A0B13BF9C01E}" xr6:coauthVersionLast="47" xr6:coauthVersionMax="47" xr10:uidLastSave="{00000000-0000-0000-0000-000000000000}"/>
  <bookViews>
    <workbookView xWindow="4410" yWindow="1920" windowWidth="22740" windowHeight="12285" xr2:uid="{00000000-000D-0000-FFFF-FFFF00000000}"/>
  </bookViews>
  <sheets>
    <sheet name="Config" sheetId="1" r:id="rId1"/>
    <sheet name="RawData" sheetId="2" r:id="rId2"/>
    <sheet name="Hourl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1" i="2" l="1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B13" i="1"/>
  <c r="B12" i="1"/>
  <c r="B11" i="1"/>
  <c r="B9" i="1"/>
  <c r="B8" i="1"/>
  <c r="A2" i="3" s="1"/>
  <c r="B6" i="1"/>
  <c r="A3" i="3" l="1"/>
  <c r="C2" i="3"/>
  <c r="B2" i="3"/>
  <c r="F2" i="3" l="1"/>
  <c r="E2" i="3"/>
  <c r="G2" i="3" s="1"/>
  <c r="D2" i="3"/>
  <c r="A4" i="3"/>
  <c r="C3" i="3"/>
  <c r="B3" i="3"/>
  <c r="F3" i="3" l="1"/>
  <c r="E3" i="3"/>
  <c r="G3" i="3" s="1"/>
  <c r="D3" i="3"/>
  <c r="B4" i="3"/>
  <c r="A5" i="3"/>
  <c r="C4" i="3"/>
  <c r="C5" i="3" l="1"/>
  <c r="B5" i="3"/>
  <c r="A6" i="3"/>
  <c r="F4" i="3"/>
  <c r="E4" i="3"/>
  <c r="G4" i="3" s="1"/>
  <c r="D4" i="3"/>
  <c r="C6" i="3" l="1"/>
  <c r="B6" i="3"/>
  <c r="A7" i="3"/>
  <c r="F5" i="3"/>
  <c r="E5" i="3"/>
  <c r="G5" i="3" s="1"/>
  <c r="D5" i="3"/>
  <c r="C7" i="3" l="1"/>
  <c r="B7" i="3"/>
  <c r="A8" i="3"/>
  <c r="D6" i="3"/>
  <c r="F6" i="3"/>
  <c r="E6" i="3"/>
  <c r="G6" i="3" s="1"/>
  <c r="C8" i="3" l="1"/>
  <c r="B8" i="3"/>
  <c r="A9" i="3"/>
  <c r="E7" i="3"/>
  <c r="D7" i="3"/>
  <c r="G7" i="3" s="1"/>
  <c r="F7" i="3"/>
  <c r="C9" i="3" l="1"/>
  <c r="B9" i="3"/>
  <c r="A10" i="3"/>
  <c r="F8" i="3"/>
  <c r="E8" i="3"/>
  <c r="D8" i="3"/>
  <c r="G8" i="3" s="1"/>
  <c r="G9" i="3" l="1"/>
  <c r="F9" i="3"/>
  <c r="E9" i="3"/>
  <c r="D9" i="3"/>
  <c r="A11" i="3"/>
  <c r="C10" i="3"/>
  <c r="B10" i="3"/>
  <c r="F10" i="3" l="1"/>
  <c r="E10" i="3"/>
  <c r="D10" i="3"/>
  <c r="G10" i="3" s="1"/>
  <c r="A12" i="3"/>
  <c r="C11" i="3"/>
  <c r="B11" i="3"/>
  <c r="B12" i="3" l="1"/>
  <c r="A13" i="3"/>
  <c r="C12" i="3"/>
  <c r="F11" i="3"/>
  <c r="E11" i="3"/>
  <c r="G11" i="3" s="1"/>
  <c r="D11" i="3"/>
  <c r="C13" i="3" l="1"/>
  <c r="B13" i="3"/>
  <c r="A14" i="3"/>
  <c r="G12" i="3"/>
  <c r="F12" i="3"/>
  <c r="E12" i="3"/>
  <c r="D12" i="3"/>
  <c r="C14" i="3" l="1"/>
  <c r="B14" i="3"/>
  <c r="A15" i="3"/>
  <c r="F13" i="3"/>
  <c r="E13" i="3"/>
  <c r="G13" i="3" s="1"/>
  <c r="D13" i="3"/>
  <c r="C15" i="3" l="1"/>
  <c r="B15" i="3"/>
  <c r="A16" i="3"/>
  <c r="D14" i="3"/>
  <c r="F14" i="3"/>
  <c r="E14" i="3"/>
  <c r="G14" i="3" s="1"/>
  <c r="C16" i="3" l="1"/>
  <c r="B16" i="3"/>
  <c r="A17" i="3"/>
  <c r="E15" i="3"/>
  <c r="D15" i="3"/>
  <c r="G15" i="3"/>
  <c r="F15" i="3"/>
  <c r="C17" i="3" l="1"/>
  <c r="B17" i="3"/>
  <c r="A18" i="3"/>
  <c r="F16" i="3"/>
  <c r="E16" i="3"/>
  <c r="D16" i="3"/>
  <c r="G16" i="3"/>
  <c r="A19" i="3" l="1"/>
  <c r="C18" i="3"/>
  <c r="B18" i="3"/>
  <c r="G17" i="3"/>
  <c r="F17" i="3"/>
  <c r="E17" i="3"/>
  <c r="D17" i="3"/>
  <c r="G18" i="3" l="1"/>
  <c r="F18" i="3"/>
  <c r="E18" i="3"/>
  <c r="D18" i="3"/>
  <c r="A20" i="3"/>
  <c r="C19" i="3"/>
  <c r="B19" i="3"/>
  <c r="G19" i="3" l="1"/>
  <c r="F19" i="3"/>
  <c r="E19" i="3"/>
  <c r="D19" i="3"/>
  <c r="B20" i="3"/>
  <c r="A21" i="3"/>
  <c r="C20" i="3"/>
  <c r="C21" i="3" l="1"/>
  <c r="B21" i="3"/>
  <c r="A22" i="3"/>
  <c r="G20" i="3"/>
  <c r="F20" i="3"/>
  <c r="E20" i="3"/>
  <c r="D20" i="3"/>
  <c r="C22" i="3" l="1"/>
  <c r="B22" i="3"/>
  <c r="A23" i="3"/>
  <c r="G21" i="3"/>
  <c r="F21" i="3"/>
  <c r="E21" i="3"/>
  <c r="D21" i="3"/>
  <c r="C23" i="3" l="1"/>
  <c r="B23" i="3"/>
  <c r="A24" i="3"/>
  <c r="D22" i="3"/>
  <c r="G22" i="3"/>
  <c r="F22" i="3"/>
  <c r="E22" i="3"/>
  <c r="C24" i="3" l="1"/>
  <c r="B24" i="3"/>
  <c r="A25" i="3"/>
  <c r="E23" i="3"/>
  <c r="D23" i="3"/>
  <c r="G23" i="3"/>
  <c r="F23" i="3"/>
  <c r="C25" i="3" l="1"/>
  <c r="B25" i="3"/>
  <c r="A26" i="3"/>
  <c r="F24" i="3"/>
  <c r="E24" i="3"/>
  <c r="D24" i="3"/>
  <c r="G24" i="3"/>
  <c r="A27" i="3" l="1"/>
  <c r="C26" i="3"/>
  <c r="B26" i="3"/>
  <c r="G25" i="3"/>
  <c r="F25" i="3"/>
  <c r="E25" i="3"/>
  <c r="D25" i="3"/>
  <c r="G26" i="3" l="1"/>
  <c r="F26" i="3"/>
  <c r="E26" i="3"/>
  <c r="D26" i="3"/>
  <c r="A28" i="3"/>
  <c r="C27" i="3"/>
  <c r="B27" i="3"/>
  <c r="G27" i="3" l="1"/>
  <c r="F27" i="3"/>
  <c r="E27" i="3"/>
  <c r="D27" i="3"/>
  <c r="B28" i="3"/>
  <c r="A29" i="3"/>
  <c r="C28" i="3"/>
  <c r="C29" i="3" l="1"/>
  <c r="B29" i="3"/>
  <c r="A30" i="3"/>
  <c r="G28" i="3"/>
  <c r="F28" i="3"/>
  <c r="E28" i="3"/>
  <c r="D28" i="3"/>
  <c r="C30" i="3" l="1"/>
  <c r="B30" i="3"/>
  <c r="A31" i="3"/>
  <c r="G29" i="3"/>
  <c r="F29" i="3"/>
  <c r="E29" i="3"/>
  <c r="D29" i="3"/>
  <c r="C31" i="3" l="1"/>
  <c r="B31" i="3"/>
  <c r="A32" i="3"/>
  <c r="D30" i="3"/>
  <c r="G30" i="3"/>
  <c r="F30" i="3"/>
  <c r="E30" i="3"/>
  <c r="C32" i="3" l="1"/>
  <c r="B32" i="3"/>
  <c r="A33" i="3"/>
  <c r="E31" i="3"/>
  <c r="D31" i="3"/>
  <c r="G31" i="3"/>
  <c r="F31" i="3"/>
  <c r="C33" i="3" l="1"/>
  <c r="B33" i="3"/>
  <c r="A34" i="3"/>
  <c r="F32" i="3"/>
  <c r="E32" i="3"/>
  <c r="D32" i="3"/>
  <c r="G32" i="3"/>
  <c r="A35" i="3" l="1"/>
  <c r="C34" i="3"/>
  <c r="B34" i="3"/>
  <c r="G33" i="3"/>
  <c r="F33" i="3"/>
  <c r="E33" i="3"/>
  <c r="D33" i="3"/>
  <c r="G34" i="3" l="1"/>
  <c r="F34" i="3"/>
  <c r="E34" i="3"/>
  <c r="D34" i="3"/>
  <c r="A36" i="3"/>
  <c r="C35" i="3"/>
  <c r="B35" i="3"/>
  <c r="B36" i="3" l="1"/>
  <c r="A37" i="3"/>
  <c r="C36" i="3"/>
  <c r="G35" i="3"/>
  <c r="F35" i="3"/>
  <c r="E35" i="3"/>
  <c r="D35" i="3"/>
  <c r="C37" i="3" l="1"/>
  <c r="B37" i="3"/>
  <c r="A38" i="3"/>
  <c r="G36" i="3"/>
  <c r="F36" i="3"/>
  <c r="E36" i="3"/>
  <c r="D36" i="3"/>
  <c r="C38" i="3" l="1"/>
  <c r="B38" i="3"/>
  <c r="A39" i="3"/>
  <c r="G37" i="3"/>
  <c r="F37" i="3"/>
  <c r="E37" i="3"/>
  <c r="D37" i="3"/>
  <c r="C39" i="3" l="1"/>
  <c r="B39" i="3"/>
  <c r="A40" i="3"/>
  <c r="D38" i="3"/>
  <c r="G38" i="3"/>
  <c r="F38" i="3"/>
  <c r="E38" i="3"/>
  <c r="C40" i="3" l="1"/>
  <c r="B40" i="3"/>
  <c r="A41" i="3"/>
  <c r="E39" i="3"/>
  <c r="D39" i="3"/>
  <c r="G39" i="3"/>
  <c r="F39" i="3"/>
  <c r="C41" i="3" l="1"/>
  <c r="B41" i="3"/>
  <c r="A42" i="3"/>
  <c r="F40" i="3"/>
  <c r="E40" i="3"/>
  <c r="D40" i="3"/>
  <c r="G40" i="3"/>
  <c r="A43" i="3" l="1"/>
  <c r="C42" i="3"/>
  <c r="B42" i="3"/>
  <c r="G41" i="3"/>
  <c r="F41" i="3"/>
  <c r="E41" i="3"/>
  <c r="D41" i="3"/>
  <c r="G42" i="3" l="1"/>
  <c r="F42" i="3"/>
  <c r="E42" i="3"/>
  <c r="D42" i="3"/>
  <c r="A44" i="3"/>
  <c r="C43" i="3"/>
  <c r="B43" i="3"/>
  <c r="B44" i="3" l="1"/>
  <c r="A45" i="3"/>
  <c r="C44" i="3"/>
  <c r="G43" i="3"/>
  <c r="F43" i="3"/>
  <c r="E43" i="3"/>
  <c r="D43" i="3"/>
  <c r="G44" i="3" l="1"/>
  <c r="F44" i="3"/>
  <c r="E44" i="3"/>
  <c r="D44" i="3"/>
  <c r="C45" i="3"/>
  <c r="B45" i="3"/>
  <c r="A46" i="3"/>
  <c r="C46" i="3" l="1"/>
  <c r="B46" i="3"/>
  <c r="A47" i="3"/>
  <c r="G45" i="3"/>
  <c r="F45" i="3"/>
  <c r="E45" i="3"/>
  <c r="D45" i="3"/>
  <c r="C47" i="3" l="1"/>
  <c r="B47" i="3"/>
  <c r="A48" i="3"/>
  <c r="D46" i="3"/>
  <c r="G46" i="3"/>
  <c r="F46" i="3"/>
  <c r="E46" i="3"/>
  <c r="C48" i="3" l="1"/>
  <c r="B48" i="3"/>
  <c r="A49" i="3"/>
  <c r="E47" i="3"/>
  <c r="D47" i="3"/>
  <c r="G47" i="3"/>
  <c r="F47" i="3"/>
  <c r="C49" i="3" l="1"/>
  <c r="B49" i="3"/>
  <c r="A50" i="3"/>
  <c r="F48" i="3"/>
  <c r="E48" i="3"/>
  <c r="D48" i="3"/>
  <c r="G48" i="3"/>
  <c r="A51" i="3" l="1"/>
  <c r="C50" i="3"/>
  <c r="B50" i="3"/>
  <c r="G49" i="3"/>
  <c r="F49" i="3"/>
  <c r="E49" i="3"/>
  <c r="D49" i="3"/>
  <c r="G50" i="3" l="1"/>
  <c r="F50" i="3"/>
  <c r="E50" i="3"/>
  <c r="D50" i="3"/>
  <c r="A52" i="3"/>
  <c r="C51" i="3"/>
  <c r="B51" i="3"/>
  <c r="G51" i="3" l="1"/>
  <c r="F51" i="3"/>
  <c r="E51" i="3"/>
  <c r="D51" i="3"/>
  <c r="B52" i="3"/>
  <c r="A53" i="3"/>
  <c r="C52" i="3"/>
  <c r="C53" i="3" l="1"/>
  <c r="B53" i="3"/>
  <c r="A54" i="3"/>
  <c r="G52" i="3"/>
  <c r="F52" i="3"/>
  <c r="E52" i="3"/>
  <c r="D52" i="3"/>
  <c r="C54" i="3" l="1"/>
  <c r="B54" i="3"/>
  <c r="A55" i="3"/>
  <c r="G53" i="3"/>
  <c r="F53" i="3"/>
  <c r="E53" i="3"/>
  <c r="D53" i="3"/>
  <c r="C55" i="3" l="1"/>
  <c r="B55" i="3"/>
  <c r="A56" i="3"/>
  <c r="D54" i="3"/>
  <c r="G54" i="3"/>
  <c r="F54" i="3"/>
  <c r="E54" i="3"/>
  <c r="C56" i="3" l="1"/>
  <c r="B56" i="3"/>
  <c r="A57" i="3"/>
  <c r="E55" i="3"/>
  <c r="D55" i="3"/>
  <c r="G55" i="3"/>
  <c r="F55" i="3"/>
  <c r="C57" i="3" l="1"/>
  <c r="B57" i="3"/>
  <c r="A58" i="3"/>
  <c r="F56" i="3"/>
  <c r="E56" i="3"/>
  <c r="D56" i="3"/>
  <c r="G56" i="3"/>
  <c r="A59" i="3" l="1"/>
  <c r="C58" i="3"/>
  <c r="B58" i="3"/>
  <c r="G57" i="3"/>
  <c r="F57" i="3"/>
  <c r="E57" i="3"/>
  <c r="D57" i="3"/>
  <c r="G58" i="3" l="1"/>
  <c r="F58" i="3"/>
  <c r="E58" i="3"/>
  <c r="D58" i="3"/>
  <c r="A60" i="3"/>
  <c r="C59" i="3"/>
  <c r="B59" i="3"/>
  <c r="G59" i="3" l="1"/>
  <c r="F59" i="3"/>
  <c r="E59" i="3"/>
  <c r="D59" i="3"/>
  <c r="B60" i="3"/>
  <c r="A61" i="3"/>
  <c r="C60" i="3"/>
  <c r="G60" i="3" l="1"/>
  <c r="F60" i="3"/>
  <c r="E60" i="3"/>
  <c r="D60" i="3"/>
  <c r="C61" i="3"/>
  <c r="B61" i="3"/>
  <c r="A62" i="3"/>
  <c r="C62" i="3" l="1"/>
  <c r="B62" i="3"/>
  <c r="A63" i="3"/>
  <c r="G61" i="3"/>
  <c r="F61" i="3"/>
  <c r="E61" i="3"/>
  <c r="D61" i="3"/>
  <c r="C63" i="3" l="1"/>
  <c r="B63" i="3"/>
  <c r="A64" i="3"/>
  <c r="D62" i="3"/>
  <c r="G62" i="3"/>
  <c r="F62" i="3"/>
  <c r="E62" i="3"/>
  <c r="C64" i="3" l="1"/>
  <c r="B64" i="3"/>
  <c r="A65" i="3"/>
  <c r="E63" i="3"/>
  <c r="D63" i="3"/>
  <c r="G63" i="3"/>
  <c r="F63" i="3"/>
  <c r="C65" i="3" l="1"/>
  <c r="B65" i="3"/>
  <c r="A66" i="3"/>
  <c r="F64" i="3"/>
  <c r="E64" i="3"/>
  <c r="D64" i="3"/>
  <c r="G64" i="3"/>
  <c r="A67" i="3" l="1"/>
  <c r="C66" i="3"/>
  <c r="B66" i="3"/>
  <c r="G65" i="3"/>
  <c r="F65" i="3"/>
  <c r="E65" i="3"/>
  <c r="D65" i="3"/>
  <c r="G66" i="3" l="1"/>
  <c r="F66" i="3"/>
  <c r="E66" i="3"/>
  <c r="D66" i="3"/>
  <c r="A68" i="3"/>
  <c r="C67" i="3"/>
  <c r="B67" i="3"/>
  <c r="G67" i="3" l="1"/>
  <c r="F67" i="3"/>
  <c r="E67" i="3"/>
  <c r="D67" i="3"/>
  <c r="B68" i="3"/>
  <c r="A69" i="3"/>
  <c r="C68" i="3"/>
  <c r="G68" i="3" l="1"/>
  <c r="F68" i="3"/>
  <c r="E68" i="3"/>
  <c r="D68" i="3"/>
  <c r="C69" i="3"/>
  <c r="B69" i="3"/>
  <c r="A70" i="3"/>
  <c r="C70" i="3" l="1"/>
  <c r="B70" i="3"/>
  <c r="A71" i="3"/>
  <c r="G69" i="3"/>
  <c r="F69" i="3"/>
  <c r="E69" i="3"/>
  <c r="D69" i="3"/>
  <c r="C71" i="3" l="1"/>
  <c r="B71" i="3"/>
  <c r="A72" i="3"/>
  <c r="D70" i="3"/>
  <c r="G70" i="3"/>
  <c r="F70" i="3"/>
  <c r="E70" i="3"/>
  <c r="C72" i="3" l="1"/>
  <c r="B72" i="3"/>
  <c r="A73" i="3"/>
  <c r="E71" i="3"/>
  <c r="D71" i="3"/>
  <c r="G71" i="3"/>
  <c r="F71" i="3"/>
  <c r="C73" i="3" l="1"/>
  <c r="B73" i="3"/>
  <c r="A74" i="3"/>
  <c r="F72" i="3"/>
  <c r="E72" i="3"/>
  <c r="D72" i="3"/>
  <c r="G72" i="3"/>
  <c r="A75" i="3" l="1"/>
  <c r="C74" i="3"/>
  <c r="B74" i="3"/>
  <c r="G73" i="3"/>
  <c r="F73" i="3"/>
  <c r="E73" i="3"/>
  <c r="D73" i="3"/>
  <c r="G74" i="3" l="1"/>
  <c r="F74" i="3"/>
  <c r="E74" i="3"/>
  <c r="D74" i="3"/>
  <c r="A76" i="3"/>
  <c r="C75" i="3"/>
  <c r="B75" i="3"/>
  <c r="G75" i="3" l="1"/>
  <c r="F75" i="3"/>
  <c r="E75" i="3"/>
  <c r="D75" i="3"/>
  <c r="B76" i="3"/>
  <c r="A77" i="3"/>
  <c r="C76" i="3"/>
  <c r="C77" i="3" l="1"/>
  <c r="B77" i="3"/>
  <c r="A78" i="3"/>
  <c r="G76" i="3"/>
  <c r="F76" i="3"/>
  <c r="E76" i="3"/>
  <c r="D76" i="3"/>
  <c r="C78" i="3" l="1"/>
  <c r="B78" i="3"/>
  <c r="A79" i="3"/>
  <c r="G77" i="3"/>
  <c r="F77" i="3"/>
  <c r="E77" i="3"/>
  <c r="D77" i="3"/>
  <c r="C79" i="3" l="1"/>
  <c r="B79" i="3"/>
  <c r="A80" i="3"/>
  <c r="D78" i="3"/>
  <c r="G78" i="3"/>
  <c r="F78" i="3"/>
  <c r="E78" i="3"/>
  <c r="C80" i="3" l="1"/>
  <c r="B80" i="3"/>
  <c r="A81" i="3"/>
  <c r="E79" i="3"/>
  <c r="D79" i="3"/>
  <c r="G79" i="3"/>
  <c r="F79" i="3"/>
  <c r="F80" i="3" l="1"/>
  <c r="E80" i="3"/>
  <c r="D80" i="3"/>
  <c r="G80" i="3"/>
  <c r="C81" i="3"/>
  <c r="B81" i="3"/>
  <c r="A82" i="3"/>
  <c r="G81" i="3" l="1"/>
  <c r="F81" i="3"/>
  <c r="E81" i="3"/>
  <c r="D81" i="3"/>
  <c r="A83" i="3"/>
  <c r="C82" i="3"/>
  <c r="B82" i="3"/>
  <c r="A84" i="3" l="1"/>
  <c r="C83" i="3"/>
  <c r="B83" i="3"/>
  <c r="G82" i="3"/>
  <c r="F82" i="3"/>
  <c r="E82" i="3"/>
  <c r="D82" i="3"/>
  <c r="G83" i="3" l="1"/>
  <c r="F83" i="3"/>
  <c r="E83" i="3"/>
  <c r="D83" i="3"/>
  <c r="B84" i="3"/>
  <c r="A85" i="3"/>
  <c r="C84" i="3"/>
  <c r="G84" i="3" l="1"/>
  <c r="F84" i="3"/>
  <c r="E84" i="3"/>
  <c r="D84" i="3"/>
  <c r="C85" i="3"/>
  <c r="B85" i="3"/>
  <c r="A86" i="3"/>
  <c r="C86" i="3" l="1"/>
  <c r="B86" i="3"/>
  <c r="A87" i="3"/>
  <c r="G85" i="3"/>
  <c r="F85" i="3"/>
  <c r="E85" i="3"/>
  <c r="D85" i="3"/>
  <c r="C87" i="3" l="1"/>
  <c r="B87" i="3"/>
  <c r="A88" i="3"/>
  <c r="D86" i="3"/>
  <c r="G86" i="3"/>
  <c r="F86" i="3"/>
  <c r="E86" i="3"/>
  <c r="E87" i="3" l="1"/>
  <c r="D87" i="3"/>
  <c r="G87" i="3"/>
  <c r="F87" i="3"/>
  <c r="C88" i="3"/>
  <c r="B88" i="3"/>
  <c r="A89" i="3"/>
  <c r="C89" i="3" l="1"/>
  <c r="B89" i="3"/>
  <c r="A90" i="3"/>
  <c r="F88" i="3"/>
  <c r="E88" i="3"/>
  <c r="D88" i="3"/>
  <c r="G88" i="3"/>
  <c r="A91" i="3" l="1"/>
  <c r="C90" i="3"/>
  <c r="B90" i="3"/>
  <c r="G89" i="3"/>
  <c r="F89" i="3"/>
  <c r="E89" i="3"/>
  <c r="D89" i="3"/>
  <c r="G90" i="3" l="1"/>
  <c r="F90" i="3"/>
  <c r="E90" i="3"/>
  <c r="D90" i="3"/>
  <c r="A92" i="3"/>
  <c r="C91" i="3"/>
  <c r="B91" i="3"/>
  <c r="G91" i="3" l="1"/>
  <c r="F91" i="3"/>
  <c r="E91" i="3"/>
  <c r="D91" i="3"/>
  <c r="B92" i="3"/>
  <c r="A93" i="3"/>
  <c r="C92" i="3"/>
  <c r="G92" i="3" l="1"/>
  <c r="F92" i="3"/>
  <c r="E92" i="3"/>
  <c r="D92" i="3"/>
  <c r="C93" i="3"/>
  <c r="B93" i="3"/>
  <c r="A94" i="3"/>
  <c r="C94" i="3" l="1"/>
  <c r="B94" i="3"/>
  <c r="A95" i="3"/>
  <c r="G93" i="3"/>
  <c r="F93" i="3"/>
  <c r="E93" i="3"/>
  <c r="D93" i="3"/>
  <c r="C95" i="3" l="1"/>
  <c r="B95" i="3"/>
  <c r="A96" i="3"/>
  <c r="D94" i="3"/>
  <c r="G94" i="3"/>
  <c r="F94" i="3"/>
  <c r="E94" i="3"/>
  <c r="C96" i="3" l="1"/>
  <c r="B96" i="3"/>
  <c r="A97" i="3"/>
  <c r="E95" i="3"/>
  <c r="D95" i="3"/>
  <c r="G95" i="3"/>
  <c r="F95" i="3"/>
  <c r="C97" i="3" l="1"/>
  <c r="B97" i="3"/>
  <c r="F96" i="3"/>
  <c r="E96" i="3"/>
  <c r="D96" i="3"/>
  <c r="G96" i="3"/>
  <c r="G97" i="3" l="1"/>
  <c r="F97" i="3"/>
  <c r="E97" i="3"/>
  <c r="D97" i="3"/>
</calcChain>
</file>

<file path=xl/sharedStrings.xml><?xml version="1.0" encoding="utf-8"?>
<sst xmlns="http://schemas.openxmlformats.org/spreadsheetml/2006/main" count="29" uniqueCount="28">
  <si>
    <t>AurinkoAI – tuntiaggregaation testipohja</t>
  </si>
  <si>
    <t>Max RawData rivit (muokkaa tarvittaessa)</t>
  </si>
  <si>
    <t>Bin (tuntia)</t>
  </si>
  <si>
    <t>UI-aikajana voi olla 1h tick, vaikka data olisi 1–5 min.</t>
  </si>
  <si>
    <t>Bin (päivinä)</t>
  </si>
  <si>
    <t>Start (tunti, UTC)</t>
  </si>
  <si>
    <t>Start/End lasketaan RawData-aikaleimoista.</t>
  </si>
  <si>
    <t>End (tunti, UTC)</t>
  </si>
  <si>
    <t>Raakadata rivejä (Timestamp)</t>
  </si>
  <si>
    <t>Jos liität enemmän rivejä kuin max, nosta Config!B3 ja kopioi HourStart-kaavat alas.</t>
  </si>
  <si>
    <t>Aika-alue (min)</t>
  </si>
  <si>
    <t>Aika-alue (max)</t>
  </si>
  <si>
    <t>Timestamp_UTC</t>
  </si>
  <si>
    <t>Speed_km_s</t>
  </si>
  <si>
    <t>Bz_nT</t>
  </si>
  <si>
    <t>HourStart_UTC</t>
  </si>
  <si>
    <t>Comment</t>
  </si>
  <si>
    <t>HourEnd_UTC</t>
  </si>
  <si>
    <t>N_points</t>
  </si>
  <si>
    <t>Speed_avg</t>
  </si>
  <si>
    <t>Bz_min</t>
  </si>
  <si>
    <t>Bz_neg_%</t>
  </si>
  <si>
    <t>Severity_0-2</t>
  </si>
  <si>
    <t>Ohje:</t>
  </si>
  <si>
    <t>1) Liitä RawData!A:C (Timestamp_UTC, Speed_km_s, Bz_nT).</t>
  </si>
  <si>
    <t>2) HourStart_UTC (sarake D) täyttyy automaattisesti.</t>
  </si>
  <si>
    <t>3) Hourly-sivu laskee tuntikeskiarvon (Speed_avg) ja Bz-minimin.</t>
  </si>
  <si>
    <t>4) Jos liität &gt; Max RawData rivit, nosta Config!B3 ja kopioi HourStart-kaavat alas.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</si>
</sst>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yyyy\-mm\-dd\ hh:mm"/>
    <numFmt numFmtId="167" formatCode="yyyy\-mm\-dd\ hh:mm:ss"/>
    <numFmt numFmtId="168" formatCode="0.0"/>
    <numFmt numFmtId="169" formatCode="0.0%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sz val="11"/>
      <color rgb="FF666666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2" fillId="0" borderId="0" xfId="1" applyFont="1" applyAlignment="1">
      <alignment horizontal="left" vertical="center"/>
    </xf>
    <xf numFmtId="1" fontId="0" fillId="0" borderId="0" xfId="1" applyNumberFormat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164" fontId="0" fillId="0" borderId="0" xfId="1" applyNumberFormat="1" applyFont="1" applyAlignment="1">
      <alignment horizontal="left" vertical="center"/>
    </xf>
    <xf numFmtId="165" fontId="0" fillId="0" borderId="0" xfId="1" applyNumberFormat="1" applyFont="1" applyAlignment="1">
      <alignment horizontal="left" vertical="center"/>
    </xf>
    <xf numFmtId="0" fontId="4" fillId="2" borderId="1" xfId="1" applyFont="1" applyFill="1" applyBorder="1" applyAlignment="1">
      <alignment horizontal="center" vertical="center"/>
    </xf>
    <xf numFmtId="167" fontId="0" fillId="0" borderId="0" xfId="1" applyNumberFormat="1" applyFont="1"/>
    <xf numFmtId="168" fontId="0" fillId="0" borderId="0" xfId="1" applyNumberFormat="1" applyFont="1"/>
    <xf numFmtId="165" fontId="0" fillId="0" borderId="0" xfId="1" applyNumberFormat="1" applyFont="1"/>
    <xf numFmtId="0" fontId="2" fillId="0" borderId="0" xfId="1" applyFont="1"/>
    <xf numFmtId="1" fontId="0" fillId="0" borderId="0" xfId="1" applyNumberFormat="1" applyFont="1"/>
    <xf numFmtId="169" fontId="0" fillId="0" borderId="0" xfId="1" applyNumberFormat="1" applyFont="1"/>
    <xf numFmtId="0" fontId="5" fillId="0" borderId="0" xfId="1" applyFont="1" applyAlignment="1">
      <alignment horizontal="left" vertical="center"/>
    </xf>
    <xf numFmtId="0" fontId="1" fillId="0" borderId="0" xfId="1" applyFont="1"/>
    <xf numFmtId="0" fontId="0" fillId="0" borderId="0" xfId="0"/>
  </cellXfs>
  <cellStyles count="2">
    <cellStyle name="Normaali" xfId="0" builtinId="0"/>
    <cellStyle name="Normal" xfId="1" xr:uid="{00000000-0005-0000-0000-000000000000}"/>
  </cellStyles>
  <dxfs count="3"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B16" sqref="B16"/>
    </sheetView>
  </sheetViews>
  <sheetFormatPr defaultRowHeight="15" x14ac:dyDescent="0.25"/>
  <cols>
    <col min="1" max="1" width="34" customWidth="1"/>
    <col min="2" max="2" width="26" customWidth="1"/>
    <col min="3" max="3" width="2" customWidth="1"/>
    <col min="4" max="4" width="60" customWidth="1"/>
  </cols>
  <sheetData>
    <row r="1" spans="1:5" ht="21.95" customHeight="1" x14ac:dyDescent="0.3">
      <c r="A1" s="14" t="s">
        <v>0</v>
      </c>
      <c r="B1" s="15"/>
      <c r="C1" s="15"/>
      <c r="D1" s="15"/>
      <c r="E1" s="15"/>
    </row>
    <row r="3" spans="1:5" x14ac:dyDescent="0.25">
      <c r="A3" s="1" t="s">
        <v>1</v>
      </c>
      <c r="B3" s="2">
        <v>500</v>
      </c>
    </row>
    <row r="5" spans="1:5" x14ac:dyDescent="0.25">
      <c r="A5" s="1" t="s">
        <v>2</v>
      </c>
      <c r="B5" s="2">
        <v>1</v>
      </c>
      <c r="D5" s="3" t="s">
        <v>3</v>
      </c>
    </row>
    <row r="6" spans="1:5" x14ac:dyDescent="0.25">
      <c r="A6" s="1" t="s">
        <v>4</v>
      </c>
      <c r="B6" s="4">
        <f>B5/24</f>
        <v>4.1666666666666664E-2</v>
      </c>
    </row>
    <row r="8" spans="1:5" x14ac:dyDescent="0.25">
      <c r="A8" s="1" t="s">
        <v>5</v>
      </c>
      <c r="B8" s="5">
        <f>IF(COUNT(RawData!$A$2:$A$501)=0,"",INT(MIN(RawData!$A$2:$A$501)*24)/24)</f>
        <v>46017</v>
      </c>
      <c r="D8" s="3" t="s">
        <v>6</v>
      </c>
    </row>
    <row r="9" spans="1:5" x14ac:dyDescent="0.25">
      <c r="A9" s="1" t="s">
        <v>7</v>
      </c>
      <c r="B9" s="5">
        <f>IF(COUNT(RawData!$A$2:$A$501)=0,"",INT(MAX(RawData!$A$2:$A$501)*24)/24 + $B$6)</f>
        <v>46017.541666666664</v>
      </c>
    </row>
    <row r="11" spans="1:5" x14ac:dyDescent="0.25">
      <c r="A11" s="1" t="s">
        <v>8</v>
      </c>
      <c r="B11" s="2">
        <f>COUNT(RawData!$A$2:$A$501)</f>
        <v>145</v>
      </c>
      <c r="D11" s="3" t="s">
        <v>9</v>
      </c>
    </row>
    <row r="12" spans="1:5" x14ac:dyDescent="0.25">
      <c r="A12" s="1" t="s">
        <v>10</v>
      </c>
      <c r="B12" s="5">
        <f>MIN(RawData!$A$2:$A$501)</f>
        <v>46017</v>
      </c>
    </row>
    <row r="13" spans="1:5" x14ac:dyDescent="0.25">
      <c r="A13" s="1" t="s">
        <v>11</v>
      </c>
      <c r="B13" s="5">
        <f>MAX(RawData!$A$2:$A$501)</f>
        <v>46017.5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1"/>
  <sheetViews>
    <sheetView topLeftCell="A42" workbookViewId="0"/>
  </sheetViews>
  <sheetFormatPr defaultRowHeight="15" x14ac:dyDescent="0.25"/>
  <cols>
    <col min="1" max="1" width="25.7109375" customWidth="1"/>
    <col min="2" max="2" width="12" customWidth="1"/>
    <col min="3" max="3" width="10" customWidth="1"/>
    <col min="4" max="4" width="18" customWidth="1"/>
    <col min="5" max="5" width="28" customWidth="1"/>
  </cols>
  <sheetData>
    <row r="1" spans="1:5" ht="20.100000000000001" customHeight="1" x14ac:dyDescent="0.25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</row>
    <row r="2" spans="1:5" x14ac:dyDescent="0.25">
      <c r="A2" s="7">
        <v>46017</v>
      </c>
      <c r="B2" s="8">
        <v>419.6</v>
      </c>
      <c r="C2" s="8">
        <v>3.6</v>
      </c>
      <c r="D2" s="9">
        <f t="shared" ref="D2:D65" si="0">IF(A2="","",INT(A2*24)/24)</f>
        <v>46017</v>
      </c>
    </row>
    <row r="3" spans="1:5" x14ac:dyDescent="0.25">
      <c r="A3" s="7">
        <v>46017.003472222219</v>
      </c>
      <c r="B3" s="8">
        <v>424.8</v>
      </c>
      <c r="C3" s="8">
        <v>3.7</v>
      </c>
      <c r="D3" s="9">
        <f t="shared" si="0"/>
        <v>46017</v>
      </c>
    </row>
    <row r="4" spans="1:5" x14ac:dyDescent="0.25">
      <c r="A4" s="7">
        <v>46017.006944444453</v>
      </c>
      <c r="B4" s="8">
        <v>433.5</v>
      </c>
      <c r="C4" s="8">
        <v>1.9</v>
      </c>
      <c r="D4" s="9">
        <f t="shared" si="0"/>
        <v>46017</v>
      </c>
    </row>
    <row r="5" spans="1:5" x14ac:dyDescent="0.25">
      <c r="A5" s="7">
        <v>46017.010416666657</v>
      </c>
      <c r="B5" s="8">
        <v>426</v>
      </c>
      <c r="C5" s="8">
        <v>2.5</v>
      </c>
      <c r="D5" s="9">
        <f t="shared" si="0"/>
        <v>46017</v>
      </c>
    </row>
    <row r="6" spans="1:5" x14ac:dyDescent="0.25">
      <c r="A6" s="7">
        <v>46017.013888888891</v>
      </c>
      <c r="B6" s="8">
        <v>428</v>
      </c>
      <c r="C6" s="8">
        <v>0.8</v>
      </c>
      <c r="D6" s="9">
        <f t="shared" si="0"/>
        <v>46017</v>
      </c>
    </row>
    <row r="7" spans="1:5" x14ac:dyDescent="0.25">
      <c r="A7" s="7">
        <v>46017.017361111109</v>
      </c>
      <c r="B7" s="8">
        <v>431.8</v>
      </c>
      <c r="C7" s="8">
        <v>-0.5</v>
      </c>
      <c r="D7" s="9">
        <f t="shared" si="0"/>
        <v>46017</v>
      </c>
    </row>
    <row r="8" spans="1:5" x14ac:dyDescent="0.25">
      <c r="A8" s="7">
        <v>46017.020833333343</v>
      </c>
      <c r="B8" s="8">
        <v>438.6</v>
      </c>
      <c r="C8" s="8">
        <v>-0.8</v>
      </c>
      <c r="D8" s="9">
        <f t="shared" si="0"/>
        <v>46017</v>
      </c>
    </row>
    <row r="9" spans="1:5" x14ac:dyDescent="0.25">
      <c r="A9" s="7">
        <v>46017.024305555547</v>
      </c>
      <c r="B9" s="8">
        <v>440</v>
      </c>
      <c r="C9" s="8">
        <v>-1.9</v>
      </c>
      <c r="D9" s="9">
        <f t="shared" si="0"/>
        <v>46017</v>
      </c>
    </row>
    <row r="10" spans="1:5" x14ac:dyDescent="0.25">
      <c r="A10" s="7">
        <v>46017.027777777781</v>
      </c>
      <c r="B10" s="8">
        <v>448.2</v>
      </c>
      <c r="C10" s="8">
        <v>-0.5</v>
      </c>
      <c r="D10" s="9">
        <f t="shared" si="0"/>
        <v>46017</v>
      </c>
    </row>
    <row r="11" spans="1:5" x14ac:dyDescent="0.25">
      <c r="A11" s="7">
        <v>46017.03125</v>
      </c>
      <c r="B11" s="8">
        <v>456.6</v>
      </c>
      <c r="C11" s="8">
        <v>-0.6</v>
      </c>
      <c r="D11" s="9">
        <f t="shared" si="0"/>
        <v>46017</v>
      </c>
    </row>
    <row r="12" spans="1:5" x14ac:dyDescent="0.25">
      <c r="A12" s="7">
        <v>46017.034722222219</v>
      </c>
      <c r="B12" s="8">
        <v>451.5</v>
      </c>
      <c r="C12" s="8">
        <v>-1.7</v>
      </c>
      <c r="D12" s="9">
        <f t="shared" si="0"/>
        <v>46017</v>
      </c>
    </row>
    <row r="13" spans="1:5" x14ac:dyDescent="0.25">
      <c r="A13" s="7">
        <v>46017.038194444453</v>
      </c>
      <c r="B13" s="8">
        <v>447.4</v>
      </c>
      <c r="C13" s="8">
        <v>-1.5</v>
      </c>
      <c r="D13" s="9">
        <f t="shared" si="0"/>
        <v>46017</v>
      </c>
    </row>
    <row r="14" spans="1:5" x14ac:dyDescent="0.25">
      <c r="A14" s="7">
        <v>46017.041666666657</v>
      </c>
      <c r="B14" s="8">
        <v>452.6</v>
      </c>
      <c r="C14" s="8">
        <v>-1.6</v>
      </c>
      <c r="D14" s="9">
        <f t="shared" si="0"/>
        <v>46017.041666666664</v>
      </c>
    </row>
    <row r="15" spans="1:5" x14ac:dyDescent="0.25">
      <c r="A15" s="7">
        <v>46017.045138888891</v>
      </c>
      <c r="B15" s="8">
        <v>449.3</v>
      </c>
      <c r="C15" s="8">
        <v>-1.4</v>
      </c>
      <c r="D15" s="9">
        <f t="shared" si="0"/>
        <v>46017.041666666664</v>
      </c>
    </row>
    <row r="16" spans="1:5" x14ac:dyDescent="0.25">
      <c r="A16" s="7">
        <v>46017.048611111109</v>
      </c>
      <c r="B16" s="8">
        <v>448.3</v>
      </c>
      <c r="C16" s="8">
        <v>0.3</v>
      </c>
      <c r="D16" s="9">
        <f t="shared" si="0"/>
        <v>46017.041666666664</v>
      </c>
    </row>
    <row r="17" spans="1:4" x14ac:dyDescent="0.25">
      <c r="A17" s="7">
        <v>46017.052083333343</v>
      </c>
      <c r="B17" s="8">
        <v>447.3</v>
      </c>
      <c r="C17" s="8">
        <v>-1.1000000000000001</v>
      </c>
      <c r="D17" s="9">
        <f t="shared" si="0"/>
        <v>46017.041666666664</v>
      </c>
    </row>
    <row r="18" spans="1:4" x14ac:dyDescent="0.25">
      <c r="A18" s="7">
        <v>46017.055555555547</v>
      </c>
      <c r="B18" s="8">
        <v>454.7</v>
      </c>
      <c r="C18" s="8">
        <v>-0.2</v>
      </c>
      <c r="D18" s="9">
        <f t="shared" si="0"/>
        <v>46017.041666666664</v>
      </c>
    </row>
    <row r="19" spans="1:4" x14ac:dyDescent="0.25">
      <c r="A19" s="7">
        <v>46017.059027777781</v>
      </c>
      <c r="B19" s="8">
        <v>454.3</v>
      </c>
      <c r="C19" s="8">
        <v>-0.6</v>
      </c>
      <c r="D19" s="9">
        <f t="shared" si="0"/>
        <v>46017.041666666664</v>
      </c>
    </row>
    <row r="20" spans="1:4" x14ac:dyDescent="0.25">
      <c r="A20" s="7">
        <v>46017.0625</v>
      </c>
      <c r="B20" s="8">
        <v>459.2</v>
      </c>
      <c r="C20" s="8">
        <v>-0.3</v>
      </c>
      <c r="D20" s="9">
        <f t="shared" si="0"/>
        <v>46017.041666666664</v>
      </c>
    </row>
    <row r="21" spans="1:4" x14ac:dyDescent="0.25">
      <c r="A21" s="7">
        <v>46017.065972222219</v>
      </c>
      <c r="B21" s="8">
        <v>451.7</v>
      </c>
      <c r="C21" s="8">
        <v>1.5</v>
      </c>
      <c r="D21" s="9">
        <f t="shared" si="0"/>
        <v>46017.041666666664</v>
      </c>
    </row>
    <row r="22" spans="1:4" x14ac:dyDescent="0.25">
      <c r="A22" s="7">
        <v>46017.069444444453</v>
      </c>
      <c r="B22" s="8">
        <v>443.9</v>
      </c>
      <c r="C22" s="8">
        <v>1.8</v>
      </c>
      <c r="D22" s="9">
        <f t="shared" si="0"/>
        <v>46017.041666666664</v>
      </c>
    </row>
    <row r="23" spans="1:4" x14ac:dyDescent="0.25">
      <c r="A23" s="7">
        <v>46017.072916666657</v>
      </c>
      <c r="B23" s="8">
        <v>449.3</v>
      </c>
      <c r="C23" s="8">
        <v>3.3</v>
      </c>
      <c r="D23" s="9">
        <f t="shared" si="0"/>
        <v>46017.041666666664</v>
      </c>
    </row>
    <row r="24" spans="1:4" x14ac:dyDescent="0.25">
      <c r="A24" s="7">
        <v>46017.076388888891</v>
      </c>
      <c r="B24" s="8">
        <v>454.4</v>
      </c>
      <c r="C24" s="8">
        <v>4.8</v>
      </c>
      <c r="D24" s="9">
        <f t="shared" si="0"/>
        <v>46017.041666666664</v>
      </c>
    </row>
    <row r="25" spans="1:4" x14ac:dyDescent="0.25">
      <c r="A25" s="7">
        <v>46017.079861111109</v>
      </c>
      <c r="B25" s="8">
        <v>447.2</v>
      </c>
      <c r="C25" s="8">
        <v>6</v>
      </c>
      <c r="D25" s="9">
        <f t="shared" si="0"/>
        <v>46017.041666666664</v>
      </c>
    </row>
    <row r="26" spans="1:4" x14ac:dyDescent="0.25">
      <c r="A26" s="7">
        <v>46017.083333333343</v>
      </c>
      <c r="B26" s="8">
        <v>456</v>
      </c>
      <c r="C26" s="8">
        <v>4.5999999999999996</v>
      </c>
      <c r="D26" s="9">
        <f t="shared" si="0"/>
        <v>46017.083333333336</v>
      </c>
    </row>
    <row r="27" spans="1:4" x14ac:dyDescent="0.25">
      <c r="A27" s="7">
        <v>46017.086805555547</v>
      </c>
      <c r="B27" s="8">
        <v>465.6</v>
      </c>
      <c r="C27" s="8">
        <v>3.5</v>
      </c>
      <c r="D27" s="9">
        <f t="shared" si="0"/>
        <v>46017.083333333336</v>
      </c>
    </row>
    <row r="28" spans="1:4" x14ac:dyDescent="0.25">
      <c r="A28" s="7">
        <v>46017.090277777781</v>
      </c>
      <c r="B28" s="8">
        <v>475.3</v>
      </c>
      <c r="C28" s="8">
        <v>1.8</v>
      </c>
      <c r="D28" s="9">
        <f t="shared" si="0"/>
        <v>46017.083333333336</v>
      </c>
    </row>
    <row r="29" spans="1:4" x14ac:dyDescent="0.25">
      <c r="A29" s="7">
        <v>46017.09375</v>
      </c>
      <c r="B29" s="8">
        <v>476.6</v>
      </c>
      <c r="C29" s="8">
        <v>3.6</v>
      </c>
      <c r="D29" s="9">
        <f t="shared" si="0"/>
        <v>46017.083333333336</v>
      </c>
    </row>
    <row r="30" spans="1:4" x14ac:dyDescent="0.25">
      <c r="A30" s="7">
        <v>46017.097222222219</v>
      </c>
      <c r="B30" s="8">
        <v>471.6</v>
      </c>
      <c r="C30" s="8">
        <v>2.4</v>
      </c>
      <c r="D30" s="9">
        <f t="shared" si="0"/>
        <v>46017.083333333336</v>
      </c>
    </row>
    <row r="31" spans="1:4" x14ac:dyDescent="0.25">
      <c r="A31" s="7">
        <v>46017.100694444453</v>
      </c>
      <c r="B31" s="8">
        <v>470.7</v>
      </c>
      <c r="C31" s="8">
        <v>2.1</v>
      </c>
      <c r="D31" s="9">
        <f t="shared" si="0"/>
        <v>46017.083333333336</v>
      </c>
    </row>
    <row r="32" spans="1:4" x14ac:dyDescent="0.25">
      <c r="A32" s="7">
        <v>46017.104166666657</v>
      </c>
      <c r="B32" s="8">
        <v>473.4</v>
      </c>
      <c r="C32" s="8">
        <v>3.2</v>
      </c>
      <c r="D32" s="9">
        <f t="shared" si="0"/>
        <v>46017.083333333336</v>
      </c>
    </row>
    <row r="33" spans="1:4" x14ac:dyDescent="0.25">
      <c r="A33" s="7">
        <v>46017.107638888891</v>
      </c>
      <c r="B33" s="8">
        <v>482.1</v>
      </c>
      <c r="C33" s="8">
        <v>3.9</v>
      </c>
      <c r="D33" s="9">
        <f t="shared" si="0"/>
        <v>46017.083333333336</v>
      </c>
    </row>
    <row r="34" spans="1:4" x14ac:dyDescent="0.25">
      <c r="A34" s="7">
        <v>46017.111111111109</v>
      </c>
      <c r="B34" s="8">
        <v>482.4</v>
      </c>
      <c r="C34" s="8">
        <v>2.8</v>
      </c>
      <c r="D34" s="9">
        <f t="shared" si="0"/>
        <v>46017.083333333336</v>
      </c>
    </row>
    <row r="35" spans="1:4" x14ac:dyDescent="0.25">
      <c r="A35" s="7">
        <v>46017.114583333343</v>
      </c>
      <c r="B35" s="8">
        <v>487.4</v>
      </c>
      <c r="C35" s="8">
        <v>2.2999999999999998</v>
      </c>
      <c r="D35" s="9">
        <f t="shared" si="0"/>
        <v>46017.083333333336</v>
      </c>
    </row>
    <row r="36" spans="1:4" x14ac:dyDescent="0.25">
      <c r="A36" s="7">
        <v>46017.118055555547</v>
      </c>
      <c r="B36" s="8">
        <v>486.9</v>
      </c>
      <c r="C36" s="8">
        <v>1.4</v>
      </c>
      <c r="D36" s="9">
        <f t="shared" si="0"/>
        <v>46017.083333333336</v>
      </c>
    </row>
    <row r="37" spans="1:4" x14ac:dyDescent="0.25">
      <c r="A37" s="7">
        <v>46017.121527777781</v>
      </c>
      <c r="B37" s="8">
        <v>491.9</v>
      </c>
      <c r="C37" s="8">
        <v>0.3</v>
      </c>
      <c r="D37" s="9">
        <f t="shared" si="0"/>
        <v>46017.083333333336</v>
      </c>
    </row>
    <row r="38" spans="1:4" x14ac:dyDescent="0.25">
      <c r="A38" s="7">
        <v>46017.125</v>
      </c>
      <c r="B38" s="8">
        <v>493</v>
      </c>
      <c r="C38" s="8">
        <v>-1.3</v>
      </c>
      <c r="D38" s="9">
        <f t="shared" si="0"/>
        <v>46017.125</v>
      </c>
    </row>
    <row r="39" spans="1:4" x14ac:dyDescent="0.25">
      <c r="A39" s="7">
        <v>46017.128472222219</v>
      </c>
      <c r="B39" s="8">
        <v>490.1</v>
      </c>
      <c r="C39" s="8">
        <v>0</v>
      </c>
      <c r="D39" s="9">
        <f t="shared" si="0"/>
        <v>46017.125</v>
      </c>
    </row>
    <row r="40" spans="1:4" x14ac:dyDescent="0.25">
      <c r="A40" s="7">
        <v>46017.131944444453</v>
      </c>
      <c r="B40" s="8">
        <v>489.7</v>
      </c>
      <c r="C40" s="8">
        <v>1.3</v>
      </c>
      <c r="D40" s="9">
        <f t="shared" si="0"/>
        <v>46017.125</v>
      </c>
    </row>
    <row r="41" spans="1:4" x14ac:dyDescent="0.25">
      <c r="A41" s="7">
        <v>46017.135416666657</v>
      </c>
      <c r="B41" s="8">
        <v>495.8</v>
      </c>
      <c r="C41" s="8">
        <v>0.8</v>
      </c>
      <c r="D41" s="9">
        <f t="shared" si="0"/>
        <v>46017.125</v>
      </c>
    </row>
    <row r="42" spans="1:4" x14ac:dyDescent="0.25">
      <c r="A42" s="7">
        <v>46017.138888888891</v>
      </c>
      <c r="B42" s="8">
        <v>504.3</v>
      </c>
      <c r="C42" s="8">
        <v>0.5</v>
      </c>
      <c r="D42" s="9">
        <f t="shared" si="0"/>
        <v>46017.125</v>
      </c>
    </row>
    <row r="43" spans="1:4" x14ac:dyDescent="0.25">
      <c r="A43" s="7">
        <v>46017.142361111109</v>
      </c>
      <c r="B43" s="8">
        <v>510.7</v>
      </c>
      <c r="C43" s="8">
        <v>0.9</v>
      </c>
      <c r="D43" s="9">
        <f t="shared" si="0"/>
        <v>46017.125</v>
      </c>
    </row>
    <row r="44" spans="1:4" x14ac:dyDescent="0.25">
      <c r="A44" s="7">
        <v>46017.145833333343</v>
      </c>
      <c r="B44" s="8">
        <v>507.1</v>
      </c>
      <c r="C44" s="8">
        <v>2.1</v>
      </c>
      <c r="D44" s="9">
        <f t="shared" si="0"/>
        <v>46017.125</v>
      </c>
    </row>
    <row r="45" spans="1:4" x14ac:dyDescent="0.25">
      <c r="A45" s="7">
        <v>46017.149305555547</v>
      </c>
      <c r="B45" s="8">
        <v>514</v>
      </c>
      <c r="C45" s="8">
        <v>1.4</v>
      </c>
      <c r="D45" s="9">
        <f t="shared" si="0"/>
        <v>46017.125</v>
      </c>
    </row>
    <row r="46" spans="1:4" x14ac:dyDescent="0.25">
      <c r="A46" s="7">
        <v>46017.152777777781</v>
      </c>
      <c r="B46" s="8">
        <v>519.1</v>
      </c>
      <c r="C46" s="8">
        <v>2.2000000000000002</v>
      </c>
      <c r="D46" s="9">
        <f t="shared" si="0"/>
        <v>46017.125</v>
      </c>
    </row>
    <row r="47" spans="1:4" x14ac:dyDescent="0.25">
      <c r="A47" s="7">
        <v>46017.15625</v>
      </c>
      <c r="B47" s="8">
        <v>524.5</v>
      </c>
      <c r="C47" s="8">
        <v>3.6</v>
      </c>
      <c r="D47" s="9">
        <f t="shared" si="0"/>
        <v>46017.125</v>
      </c>
    </row>
    <row r="48" spans="1:4" x14ac:dyDescent="0.25">
      <c r="A48" s="7">
        <v>46017.159722222219</v>
      </c>
      <c r="B48" s="8">
        <v>518.70000000000005</v>
      </c>
      <c r="C48" s="8">
        <v>4.7</v>
      </c>
      <c r="D48" s="9">
        <f t="shared" si="0"/>
        <v>46017.125</v>
      </c>
    </row>
    <row r="49" spans="1:4" x14ac:dyDescent="0.25">
      <c r="A49" s="7">
        <v>46017.163194444453</v>
      </c>
      <c r="B49" s="8">
        <v>526.9</v>
      </c>
      <c r="C49" s="8">
        <v>4.7</v>
      </c>
      <c r="D49" s="9">
        <f t="shared" si="0"/>
        <v>46017.125</v>
      </c>
    </row>
    <row r="50" spans="1:4" x14ac:dyDescent="0.25">
      <c r="A50" s="7">
        <v>46017.166666666657</v>
      </c>
      <c r="B50" s="8">
        <v>526</v>
      </c>
      <c r="C50" s="8">
        <v>5.9</v>
      </c>
      <c r="D50" s="9">
        <f t="shared" si="0"/>
        <v>46017.166666666664</v>
      </c>
    </row>
    <row r="51" spans="1:4" x14ac:dyDescent="0.25">
      <c r="A51" s="7">
        <v>46017.170138888891</v>
      </c>
      <c r="B51" s="8">
        <v>525</v>
      </c>
      <c r="C51" s="8">
        <v>5</v>
      </c>
      <c r="D51" s="9">
        <f t="shared" si="0"/>
        <v>46017.166666666664</v>
      </c>
    </row>
    <row r="52" spans="1:4" x14ac:dyDescent="0.25">
      <c r="A52" s="7">
        <v>46017.173611111109</v>
      </c>
      <c r="B52" s="8">
        <v>530.5</v>
      </c>
      <c r="C52" s="8">
        <v>6.3</v>
      </c>
      <c r="D52" s="9">
        <f t="shared" si="0"/>
        <v>46017.166666666664</v>
      </c>
    </row>
    <row r="53" spans="1:4" x14ac:dyDescent="0.25">
      <c r="A53" s="7">
        <v>46017.177083333343</v>
      </c>
      <c r="B53" s="8">
        <v>523.20000000000005</v>
      </c>
      <c r="C53" s="8">
        <v>6.5</v>
      </c>
      <c r="D53" s="9">
        <f t="shared" si="0"/>
        <v>46017.166666666664</v>
      </c>
    </row>
    <row r="54" spans="1:4" x14ac:dyDescent="0.25">
      <c r="A54" s="7">
        <v>46017.180555555547</v>
      </c>
      <c r="B54" s="8">
        <v>515.4</v>
      </c>
      <c r="C54" s="8">
        <v>5.0999999999999996</v>
      </c>
      <c r="D54" s="9">
        <f t="shared" si="0"/>
        <v>46017.166666666664</v>
      </c>
    </row>
    <row r="55" spans="1:4" x14ac:dyDescent="0.25">
      <c r="A55" s="7">
        <v>46017.184027777781</v>
      </c>
      <c r="B55" s="8">
        <v>510.2</v>
      </c>
      <c r="C55" s="8">
        <v>6.5</v>
      </c>
      <c r="D55" s="9">
        <f t="shared" si="0"/>
        <v>46017.166666666664</v>
      </c>
    </row>
    <row r="56" spans="1:4" x14ac:dyDescent="0.25">
      <c r="A56" s="7">
        <v>46017.1875</v>
      </c>
      <c r="B56" s="8">
        <v>510.7</v>
      </c>
      <c r="C56" s="8">
        <v>6.5</v>
      </c>
      <c r="D56" s="9">
        <f t="shared" si="0"/>
        <v>46017.166666666664</v>
      </c>
    </row>
    <row r="57" spans="1:4" x14ac:dyDescent="0.25">
      <c r="A57" s="7">
        <v>46017.190972222219</v>
      </c>
      <c r="B57" s="8">
        <v>516.29999999999995</v>
      </c>
      <c r="C57" s="8">
        <v>5.4</v>
      </c>
      <c r="D57" s="9">
        <f t="shared" si="0"/>
        <v>46017.166666666664</v>
      </c>
    </row>
    <row r="58" spans="1:4" x14ac:dyDescent="0.25">
      <c r="A58" s="7">
        <v>46017.194444444453</v>
      </c>
      <c r="B58" s="8">
        <v>516.29999999999995</v>
      </c>
      <c r="C58" s="8">
        <v>6.5</v>
      </c>
      <c r="D58" s="9">
        <f t="shared" si="0"/>
        <v>46017.166666666664</v>
      </c>
    </row>
    <row r="59" spans="1:4" x14ac:dyDescent="0.25">
      <c r="A59" s="7">
        <v>46017.197916666657</v>
      </c>
      <c r="B59" s="8">
        <v>520.9</v>
      </c>
      <c r="C59" s="8">
        <v>6.2</v>
      </c>
      <c r="D59" s="9">
        <f t="shared" si="0"/>
        <v>46017.166666666664</v>
      </c>
    </row>
    <row r="60" spans="1:4" x14ac:dyDescent="0.25">
      <c r="A60" s="7">
        <v>46017.201388888891</v>
      </c>
      <c r="B60" s="8">
        <v>516.9</v>
      </c>
      <c r="C60" s="8">
        <v>6</v>
      </c>
      <c r="D60" s="9">
        <f t="shared" si="0"/>
        <v>46017.166666666664</v>
      </c>
    </row>
    <row r="61" spans="1:4" x14ac:dyDescent="0.25">
      <c r="A61" s="7">
        <v>46017.204861111109</v>
      </c>
      <c r="B61" s="8">
        <v>520.1</v>
      </c>
      <c r="C61" s="8">
        <v>6.1</v>
      </c>
      <c r="D61" s="9">
        <f t="shared" si="0"/>
        <v>46017.166666666664</v>
      </c>
    </row>
    <row r="62" spans="1:4" x14ac:dyDescent="0.25">
      <c r="A62" s="7">
        <v>46017.208333333343</v>
      </c>
      <c r="B62" s="8">
        <v>515.79999999999995</v>
      </c>
      <c r="C62" s="8">
        <v>7.4</v>
      </c>
      <c r="D62" s="9">
        <f t="shared" si="0"/>
        <v>46017.208333333336</v>
      </c>
    </row>
    <row r="63" spans="1:4" x14ac:dyDescent="0.25">
      <c r="A63" s="7">
        <v>46017.211805555547</v>
      </c>
      <c r="B63" s="8">
        <v>509.2</v>
      </c>
      <c r="C63" s="8">
        <v>6.2</v>
      </c>
      <c r="D63" s="9">
        <f t="shared" si="0"/>
        <v>46017.208333333336</v>
      </c>
    </row>
    <row r="64" spans="1:4" x14ac:dyDescent="0.25">
      <c r="A64" s="7">
        <v>46017.215277777781</v>
      </c>
      <c r="B64" s="8">
        <v>513.29999999999995</v>
      </c>
      <c r="C64" s="8">
        <v>5.7</v>
      </c>
      <c r="D64" s="9">
        <f t="shared" si="0"/>
        <v>46017.208333333336</v>
      </c>
    </row>
    <row r="65" spans="1:4" x14ac:dyDescent="0.25">
      <c r="A65" s="7">
        <v>46017.21875</v>
      </c>
      <c r="B65" s="8">
        <v>511.1</v>
      </c>
      <c r="C65" s="8">
        <v>5.9</v>
      </c>
      <c r="D65" s="9">
        <f t="shared" si="0"/>
        <v>46017.208333333336</v>
      </c>
    </row>
    <row r="66" spans="1:4" x14ac:dyDescent="0.25">
      <c r="A66" s="7">
        <v>46017.222222222219</v>
      </c>
      <c r="B66" s="8">
        <v>513.1</v>
      </c>
      <c r="C66" s="8">
        <v>6.4</v>
      </c>
      <c r="D66" s="9">
        <f t="shared" ref="D66:D129" si="1">IF(A66="","",INT(A66*24)/24)</f>
        <v>46017.208333333336</v>
      </c>
    </row>
    <row r="67" spans="1:4" x14ac:dyDescent="0.25">
      <c r="A67" s="7">
        <v>46017.225694444453</v>
      </c>
      <c r="B67" s="8">
        <v>513.4</v>
      </c>
      <c r="C67" s="8">
        <v>7.8</v>
      </c>
      <c r="D67" s="9">
        <f t="shared" si="1"/>
        <v>46017.208333333336</v>
      </c>
    </row>
    <row r="68" spans="1:4" x14ac:dyDescent="0.25">
      <c r="A68" s="7">
        <v>46017.229166666657</v>
      </c>
      <c r="B68" s="8">
        <v>521.1</v>
      </c>
      <c r="C68" s="8">
        <v>7.3</v>
      </c>
      <c r="D68" s="9">
        <f t="shared" si="1"/>
        <v>46017.208333333336</v>
      </c>
    </row>
    <row r="69" spans="1:4" x14ac:dyDescent="0.25">
      <c r="A69" s="7">
        <v>46017.232638888891</v>
      </c>
      <c r="B69" s="8">
        <v>525.9</v>
      </c>
      <c r="C69" s="8">
        <v>8.3000000000000007</v>
      </c>
      <c r="D69" s="9">
        <f t="shared" si="1"/>
        <v>46017.208333333336</v>
      </c>
    </row>
    <row r="70" spans="1:4" x14ac:dyDescent="0.25">
      <c r="A70" s="7">
        <v>46017.236111111109</v>
      </c>
      <c r="B70" s="8">
        <v>522.79999999999995</v>
      </c>
      <c r="C70" s="8">
        <v>8.9</v>
      </c>
      <c r="D70" s="9">
        <f t="shared" si="1"/>
        <v>46017.208333333336</v>
      </c>
    </row>
    <row r="71" spans="1:4" x14ac:dyDescent="0.25">
      <c r="A71" s="7">
        <v>46017.239583333343</v>
      </c>
      <c r="B71" s="8">
        <v>524.79999999999995</v>
      </c>
      <c r="C71" s="8">
        <v>7.7</v>
      </c>
      <c r="D71" s="9">
        <f t="shared" si="1"/>
        <v>46017.208333333336</v>
      </c>
    </row>
    <row r="72" spans="1:4" x14ac:dyDescent="0.25">
      <c r="A72" s="7">
        <v>46017.243055555547</v>
      </c>
      <c r="B72" s="8">
        <v>522.5</v>
      </c>
      <c r="C72" s="8">
        <v>9.4</v>
      </c>
      <c r="D72" s="9">
        <f t="shared" si="1"/>
        <v>46017.208333333336</v>
      </c>
    </row>
    <row r="73" spans="1:4" x14ac:dyDescent="0.25">
      <c r="A73" s="7">
        <v>46017.246527777781</v>
      </c>
      <c r="B73" s="8">
        <v>526.5</v>
      </c>
      <c r="C73" s="8">
        <v>7.8</v>
      </c>
      <c r="D73" s="9">
        <f t="shared" si="1"/>
        <v>46017.208333333336</v>
      </c>
    </row>
    <row r="74" spans="1:4" x14ac:dyDescent="0.25">
      <c r="A74" s="7">
        <v>46017.25</v>
      </c>
      <c r="B74" s="8">
        <v>528.1</v>
      </c>
      <c r="C74" s="8">
        <v>6.5</v>
      </c>
      <c r="D74" s="9">
        <f t="shared" si="1"/>
        <v>46017.25</v>
      </c>
    </row>
    <row r="75" spans="1:4" x14ac:dyDescent="0.25">
      <c r="A75" s="7">
        <v>46017.253472222219</v>
      </c>
      <c r="B75" s="8">
        <v>526</v>
      </c>
      <c r="C75" s="8">
        <v>5.8</v>
      </c>
      <c r="D75" s="9">
        <f t="shared" si="1"/>
        <v>46017.25</v>
      </c>
    </row>
    <row r="76" spans="1:4" x14ac:dyDescent="0.25">
      <c r="A76" s="7">
        <v>46017.256944444453</v>
      </c>
      <c r="B76" s="8">
        <v>527</v>
      </c>
      <c r="C76" s="8">
        <v>4.5999999999999996</v>
      </c>
      <c r="D76" s="9">
        <f t="shared" si="1"/>
        <v>46017.25</v>
      </c>
    </row>
    <row r="77" spans="1:4" x14ac:dyDescent="0.25">
      <c r="A77" s="7">
        <v>46017.260416666657</v>
      </c>
      <c r="B77" s="8">
        <v>525.79999999999995</v>
      </c>
      <c r="C77" s="8">
        <v>4</v>
      </c>
      <c r="D77" s="9">
        <f t="shared" si="1"/>
        <v>46017.25</v>
      </c>
    </row>
    <row r="78" spans="1:4" x14ac:dyDescent="0.25">
      <c r="A78" s="7">
        <v>46017.263888888891</v>
      </c>
      <c r="B78" s="8">
        <v>523.1</v>
      </c>
      <c r="C78" s="8">
        <v>4.3</v>
      </c>
      <c r="D78" s="9">
        <f t="shared" si="1"/>
        <v>46017.25</v>
      </c>
    </row>
    <row r="79" spans="1:4" x14ac:dyDescent="0.25">
      <c r="A79" s="7">
        <v>46017.267361111109</v>
      </c>
      <c r="B79" s="8">
        <v>531.4</v>
      </c>
      <c r="C79" s="8">
        <v>4</v>
      </c>
      <c r="D79" s="9">
        <f t="shared" si="1"/>
        <v>46017.25</v>
      </c>
    </row>
    <row r="80" spans="1:4" x14ac:dyDescent="0.25">
      <c r="A80" s="7">
        <v>46017.270833333343</v>
      </c>
      <c r="B80" s="8">
        <v>533.29999999999995</v>
      </c>
      <c r="C80" s="8">
        <v>4.9000000000000004</v>
      </c>
      <c r="D80" s="9">
        <f t="shared" si="1"/>
        <v>46017.25</v>
      </c>
    </row>
    <row r="81" spans="1:4" x14ac:dyDescent="0.25">
      <c r="A81" s="7">
        <v>46017.274305555547</v>
      </c>
      <c r="B81" s="8">
        <v>533.4</v>
      </c>
      <c r="C81" s="8">
        <v>3.7</v>
      </c>
      <c r="D81" s="9">
        <f t="shared" si="1"/>
        <v>46017.25</v>
      </c>
    </row>
    <row r="82" spans="1:4" x14ac:dyDescent="0.25">
      <c r="A82" s="7">
        <v>46017.277777777781</v>
      </c>
      <c r="B82" s="8">
        <v>536.29999999999995</v>
      </c>
      <c r="C82" s="8">
        <v>3.2</v>
      </c>
      <c r="D82" s="9">
        <f t="shared" si="1"/>
        <v>46017.25</v>
      </c>
    </row>
    <row r="83" spans="1:4" x14ac:dyDescent="0.25">
      <c r="A83" s="7">
        <v>46017.28125</v>
      </c>
      <c r="B83" s="8">
        <v>544.6</v>
      </c>
      <c r="C83" s="8">
        <v>2.1</v>
      </c>
      <c r="D83" s="9">
        <f t="shared" si="1"/>
        <v>46017.25</v>
      </c>
    </row>
    <row r="84" spans="1:4" x14ac:dyDescent="0.25">
      <c r="A84" s="7">
        <v>46017.284722222219</v>
      </c>
      <c r="B84" s="8">
        <v>539.20000000000005</v>
      </c>
      <c r="C84" s="8">
        <v>1.8</v>
      </c>
      <c r="D84" s="9">
        <f t="shared" si="1"/>
        <v>46017.25</v>
      </c>
    </row>
    <row r="85" spans="1:4" x14ac:dyDescent="0.25">
      <c r="A85" s="7">
        <v>46017.288194444453</v>
      </c>
      <c r="B85" s="8">
        <v>537.5</v>
      </c>
      <c r="C85" s="8">
        <v>2.8</v>
      </c>
      <c r="D85" s="9">
        <f t="shared" si="1"/>
        <v>46017.25</v>
      </c>
    </row>
    <row r="86" spans="1:4" x14ac:dyDescent="0.25">
      <c r="A86" s="7">
        <v>46017.291666666657</v>
      </c>
      <c r="B86" s="8">
        <v>545.6</v>
      </c>
      <c r="C86" s="8">
        <v>1.8</v>
      </c>
      <c r="D86" s="9">
        <f t="shared" si="1"/>
        <v>46017.291666666664</v>
      </c>
    </row>
    <row r="87" spans="1:4" x14ac:dyDescent="0.25">
      <c r="A87" s="7">
        <v>46017.295138888891</v>
      </c>
      <c r="B87" s="8">
        <v>547</v>
      </c>
      <c r="C87" s="8">
        <v>2.9</v>
      </c>
      <c r="D87" s="9">
        <f t="shared" si="1"/>
        <v>46017.291666666664</v>
      </c>
    </row>
    <row r="88" spans="1:4" x14ac:dyDescent="0.25">
      <c r="A88" s="7">
        <v>46017.298611111109</v>
      </c>
      <c r="B88" s="8">
        <v>550.5</v>
      </c>
      <c r="C88" s="8">
        <v>2.6</v>
      </c>
      <c r="D88" s="9">
        <f t="shared" si="1"/>
        <v>46017.291666666664</v>
      </c>
    </row>
    <row r="89" spans="1:4" x14ac:dyDescent="0.25">
      <c r="A89" s="7">
        <v>46017.302083333343</v>
      </c>
      <c r="B89" s="8">
        <v>557.1</v>
      </c>
      <c r="C89" s="8">
        <v>2.9</v>
      </c>
      <c r="D89" s="9">
        <f t="shared" si="1"/>
        <v>46017.291666666664</v>
      </c>
    </row>
    <row r="90" spans="1:4" x14ac:dyDescent="0.25">
      <c r="A90" s="7">
        <v>46017.305555555547</v>
      </c>
      <c r="B90" s="8">
        <v>550.6</v>
      </c>
      <c r="C90" s="8">
        <v>3.9</v>
      </c>
      <c r="D90" s="9">
        <f t="shared" si="1"/>
        <v>46017.291666666664</v>
      </c>
    </row>
    <row r="91" spans="1:4" x14ac:dyDescent="0.25">
      <c r="A91" s="7">
        <v>46017.309027777781</v>
      </c>
      <c r="B91" s="8">
        <v>555.79999999999995</v>
      </c>
      <c r="C91" s="8">
        <v>5.6</v>
      </c>
      <c r="D91" s="9">
        <f t="shared" si="1"/>
        <v>46017.291666666664</v>
      </c>
    </row>
    <row r="92" spans="1:4" x14ac:dyDescent="0.25">
      <c r="A92" s="7">
        <v>46017.3125</v>
      </c>
      <c r="B92" s="8">
        <v>557.6</v>
      </c>
      <c r="C92" s="8">
        <v>6.6</v>
      </c>
      <c r="D92" s="9">
        <f t="shared" si="1"/>
        <v>46017.291666666664</v>
      </c>
    </row>
    <row r="93" spans="1:4" x14ac:dyDescent="0.25">
      <c r="A93" s="7">
        <v>46017.315972222219</v>
      </c>
      <c r="B93" s="8">
        <v>555.4</v>
      </c>
      <c r="C93" s="8">
        <v>6.3</v>
      </c>
      <c r="D93" s="9">
        <f t="shared" si="1"/>
        <v>46017.291666666664</v>
      </c>
    </row>
    <row r="94" spans="1:4" x14ac:dyDescent="0.25">
      <c r="A94" s="7">
        <v>46017.319444444453</v>
      </c>
      <c r="B94" s="8">
        <v>562.1</v>
      </c>
      <c r="C94" s="8">
        <v>6.3</v>
      </c>
      <c r="D94" s="9">
        <f t="shared" si="1"/>
        <v>46017.291666666664</v>
      </c>
    </row>
    <row r="95" spans="1:4" x14ac:dyDescent="0.25">
      <c r="A95" s="7">
        <v>46017.322916666657</v>
      </c>
      <c r="B95" s="8">
        <v>556.1</v>
      </c>
      <c r="C95" s="8">
        <v>7.8</v>
      </c>
      <c r="D95" s="9">
        <f t="shared" si="1"/>
        <v>46017.291666666664</v>
      </c>
    </row>
    <row r="96" spans="1:4" x14ac:dyDescent="0.25">
      <c r="A96" s="7">
        <v>46017.326388888891</v>
      </c>
      <c r="B96" s="8">
        <v>560.9</v>
      </c>
      <c r="C96" s="8">
        <v>7.7</v>
      </c>
      <c r="D96" s="9">
        <f t="shared" si="1"/>
        <v>46017.291666666664</v>
      </c>
    </row>
    <row r="97" spans="1:4" x14ac:dyDescent="0.25">
      <c r="A97" s="7">
        <v>46017.329861111109</v>
      </c>
      <c r="B97" s="8">
        <v>569.20000000000005</v>
      </c>
      <c r="C97" s="8">
        <v>8.1999999999999993</v>
      </c>
      <c r="D97" s="9">
        <f t="shared" si="1"/>
        <v>46017.291666666664</v>
      </c>
    </row>
    <row r="98" spans="1:4" x14ac:dyDescent="0.25">
      <c r="A98" s="7">
        <v>46017.333333333343</v>
      </c>
      <c r="B98" s="8">
        <v>572.5</v>
      </c>
      <c r="C98" s="8">
        <v>8.9</v>
      </c>
      <c r="D98" s="9">
        <f t="shared" si="1"/>
        <v>46017.333333333336</v>
      </c>
    </row>
    <row r="99" spans="1:4" x14ac:dyDescent="0.25">
      <c r="A99" s="7">
        <v>46017.336805555547</v>
      </c>
      <c r="B99" s="8">
        <v>579.70000000000005</v>
      </c>
      <c r="C99" s="8">
        <v>7.3</v>
      </c>
      <c r="D99" s="9">
        <f t="shared" si="1"/>
        <v>46017.333333333336</v>
      </c>
    </row>
    <row r="100" spans="1:4" x14ac:dyDescent="0.25">
      <c r="A100" s="7">
        <v>46017.340277777781</v>
      </c>
      <c r="B100" s="8">
        <v>586</v>
      </c>
      <c r="C100" s="8">
        <v>7</v>
      </c>
      <c r="D100" s="9">
        <f t="shared" si="1"/>
        <v>46017.333333333336</v>
      </c>
    </row>
    <row r="101" spans="1:4" x14ac:dyDescent="0.25">
      <c r="A101" s="7">
        <v>46017.34375</v>
      </c>
      <c r="B101" s="8">
        <v>581.79999999999995</v>
      </c>
      <c r="C101" s="8">
        <v>6.3</v>
      </c>
      <c r="D101" s="9">
        <f t="shared" si="1"/>
        <v>46017.333333333336</v>
      </c>
    </row>
    <row r="102" spans="1:4" x14ac:dyDescent="0.25">
      <c r="A102" s="7">
        <v>46017.347222222219</v>
      </c>
      <c r="B102" s="8">
        <v>587.20000000000005</v>
      </c>
      <c r="C102" s="8">
        <v>5.6</v>
      </c>
      <c r="D102" s="9">
        <f t="shared" si="1"/>
        <v>46017.333333333336</v>
      </c>
    </row>
    <row r="103" spans="1:4" x14ac:dyDescent="0.25">
      <c r="A103" s="7">
        <v>46017.350694444453</v>
      </c>
      <c r="B103" s="8">
        <v>595.4</v>
      </c>
      <c r="C103" s="8">
        <v>4.7</v>
      </c>
      <c r="D103" s="9">
        <f t="shared" si="1"/>
        <v>46017.333333333336</v>
      </c>
    </row>
    <row r="104" spans="1:4" x14ac:dyDescent="0.25">
      <c r="A104" s="7">
        <v>46017.354166666657</v>
      </c>
      <c r="B104" s="8">
        <v>596</v>
      </c>
      <c r="C104" s="8">
        <v>3.9</v>
      </c>
      <c r="D104" s="9">
        <f t="shared" si="1"/>
        <v>46017.333333333336</v>
      </c>
    </row>
    <row r="105" spans="1:4" x14ac:dyDescent="0.25">
      <c r="A105" s="7">
        <v>46017.357638888891</v>
      </c>
      <c r="B105" s="8">
        <v>595.9</v>
      </c>
      <c r="C105" s="8">
        <v>4.0999999999999996</v>
      </c>
      <c r="D105" s="9">
        <f t="shared" si="1"/>
        <v>46017.333333333336</v>
      </c>
    </row>
    <row r="106" spans="1:4" x14ac:dyDescent="0.25">
      <c r="A106" s="7">
        <v>46017.361111111109</v>
      </c>
      <c r="B106" s="8">
        <v>600.6</v>
      </c>
      <c r="C106" s="8">
        <v>5.2</v>
      </c>
      <c r="D106" s="9">
        <f t="shared" si="1"/>
        <v>46017.333333333336</v>
      </c>
    </row>
    <row r="107" spans="1:4" x14ac:dyDescent="0.25">
      <c r="A107" s="7">
        <v>46017.364583333343</v>
      </c>
      <c r="B107" s="8">
        <v>593.70000000000005</v>
      </c>
      <c r="C107" s="8">
        <v>5.0999999999999996</v>
      </c>
      <c r="D107" s="9">
        <f t="shared" si="1"/>
        <v>46017.333333333336</v>
      </c>
    </row>
    <row r="108" spans="1:4" x14ac:dyDescent="0.25">
      <c r="A108" s="7">
        <v>46017.368055555547</v>
      </c>
      <c r="B108" s="8">
        <v>600.1</v>
      </c>
      <c r="C108" s="8">
        <v>5.9</v>
      </c>
      <c r="D108" s="9">
        <f t="shared" si="1"/>
        <v>46017.333333333336</v>
      </c>
    </row>
    <row r="109" spans="1:4" x14ac:dyDescent="0.25">
      <c r="A109" s="7">
        <v>46017.371527777781</v>
      </c>
      <c r="B109" s="8">
        <v>594.5</v>
      </c>
      <c r="C109" s="8">
        <v>6.7</v>
      </c>
      <c r="D109" s="9">
        <f t="shared" si="1"/>
        <v>46017.333333333336</v>
      </c>
    </row>
    <row r="110" spans="1:4" x14ac:dyDescent="0.25">
      <c r="A110" s="7">
        <v>46017.375</v>
      </c>
      <c r="B110" s="8">
        <v>604.20000000000005</v>
      </c>
      <c r="C110" s="8">
        <v>5.3</v>
      </c>
      <c r="D110" s="9">
        <f t="shared" si="1"/>
        <v>46017.375</v>
      </c>
    </row>
    <row r="111" spans="1:4" x14ac:dyDescent="0.25">
      <c r="A111" s="7">
        <v>46017.378472222219</v>
      </c>
      <c r="B111" s="8">
        <v>601.9</v>
      </c>
      <c r="C111" s="8">
        <v>5</v>
      </c>
      <c r="D111" s="9">
        <f t="shared" si="1"/>
        <v>46017.375</v>
      </c>
    </row>
    <row r="112" spans="1:4" x14ac:dyDescent="0.25">
      <c r="A112" s="7">
        <v>46017.381944444453</v>
      </c>
      <c r="B112" s="8">
        <v>599.6</v>
      </c>
      <c r="C112" s="8">
        <v>5.5</v>
      </c>
      <c r="D112" s="9">
        <f t="shared" si="1"/>
        <v>46017.375</v>
      </c>
    </row>
    <row r="113" spans="1:4" x14ac:dyDescent="0.25">
      <c r="A113" s="7">
        <v>46017.385416666657</v>
      </c>
      <c r="B113" s="8">
        <v>601.29999999999995</v>
      </c>
      <c r="C113" s="8">
        <v>5.3</v>
      </c>
      <c r="D113" s="9">
        <f t="shared" si="1"/>
        <v>46017.375</v>
      </c>
    </row>
    <row r="114" spans="1:4" x14ac:dyDescent="0.25">
      <c r="A114" s="7">
        <v>46017.388888888891</v>
      </c>
      <c r="B114" s="8">
        <v>608.20000000000005</v>
      </c>
      <c r="C114" s="8">
        <v>5.2</v>
      </c>
      <c r="D114" s="9">
        <f t="shared" si="1"/>
        <v>46017.375</v>
      </c>
    </row>
    <row r="115" spans="1:4" x14ac:dyDescent="0.25">
      <c r="A115" s="7">
        <v>46017.392361111109</v>
      </c>
      <c r="B115" s="8">
        <v>612.4</v>
      </c>
      <c r="C115" s="8">
        <v>5.9</v>
      </c>
      <c r="D115" s="9">
        <f t="shared" si="1"/>
        <v>46017.375</v>
      </c>
    </row>
    <row r="116" spans="1:4" x14ac:dyDescent="0.25">
      <c r="A116" s="7">
        <v>46017.395833333343</v>
      </c>
      <c r="B116" s="8">
        <v>606.5</v>
      </c>
      <c r="C116" s="8">
        <v>7.1</v>
      </c>
      <c r="D116" s="9">
        <f t="shared" si="1"/>
        <v>46017.375</v>
      </c>
    </row>
    <row r="117" spans="1:4" x14ac:dyDescent="0.25">
      <c r="A117" s="7">
        <v>46017.399305555547</v>
      </c>
      <c r="B117" s="8">
        <v>601.4</v>
      </c>
      <c r="C117" s="8">
        <v>8.5</v>
      </c>
      <c r="D117" s="9">
        <f t="shared" si="1"/>
        <v>46017.375</v>
      </c>
    </row>
    <row r="118" spans="1:4" x14ac:dyDescent="0.25">
      <c r="A118" s="7">
        <v>46017.402777777781</v>
      </c>
      <c r="B118" s="8">
        <v>609.6</v>
      </c>
      <c r="C118" s="8">
        <v>10.1</v>
      </c>
      <c r="D118" s="9">
        <f t="shared" si="1"/>
        <v>46017.375</v>
      </c>
    </row>
    <row r="119" spans="1:4" x14ac:dyDescent="0.25">
      <c r="A119" s="7">
        <v>46017.40625</v>
      </c>
      <c r="B119" s="8">
        <v>610.1</v>
      </c>
      <c r="C119" s="8">
        <v>9</v>
      </c>
      <c r="D119" s="9">
        <f t="shared" si="1"/>
        <v>46017.375</v>
      </c>
    </row>
    <row r="120" spans="1:4" x14ac:dyDescent="0.25">
      <c r="A120" s="7">
        <v>46017.409722222219</v>
      </c>
      <c r="B120" s="8">
        <v>604.79999999999995</v>
      </c>
      <c r="C120" s="8">
        <v>10.4</v>
      </c>
      <c r="D120" s="9">
        <f t="shared" si="1"/>
        <v>46017.375</v>
      </c>
    </row>
    <row r="121" spans="1:4" x14ac:dyDescent="0.25">
      <c r="A121" s="7">
        <v>46017.413194444453</v>
      </c>
      <c r="B121" s="8">
        <v>603.70000000000005</v>
      </c>
      <c r="C121" s="8">
        <v>11.3</v>
      </c>
      <c r="D121" s="9">
        <f t="shared" si="1"/>
        <v>46017.375</v>
      </c>
    </row>
    <row r="122" spans="1:4" x14ac:dyDescent="0.25">
      <c r="A122" s="7">
        <v>46017.416666666657</v>
      </c>
      <c r="B122" s="8">
        <v>610.79999999999995</v>
      </c>
      <c r="C122" s="8">
        <v>10.5</v>
      </c>
      <c r="D122" s="9">
        <f t="shared" si="1"/>
        <v>46017.416666666664</v>
      </c>
    </row>
    <row r="123" spans="1:4" x14ac:dyDescent="0.25">
      <c r="A123" s="7">
        <v>46017.420138888891</v>
      </c>
      <c r="B123" s="8">
        <v>608.20000000000005</v>
      </c>
      <c r="C123" s="8">
        <v>12.3</v>
      </c>
      <c r="D123" s="9">
        <f t="shared" si="1"/>
        <v>46017.416666666664</v>
      </c>
    </row>
    <row r="124" spans="1:4" x14ac:dyDescent="0.25">
      <c r="A124" s="7">
        <v>46017.423611111109</v>
      </c>
      <c r="B124" s="8">
        <v>613.4</v>
      </c>
      <c r="C124" s="8">
        <v>13.3</v>
      </c>
      <c r="D124" s="9">
        <f t="shared" si="1"/>
        <v>46017.416666666664</v>
      </c>
    </row>
    <row r="125" spans="1:4" x14ac:dyDescent="0.25">
      <c r="A125" s="7">
        <v>46017.427083333343</v>
      </c>
      <c r="B125" s="8">
        <v>614.5</v>
      </c>
      <c r="C125" s="8">
        <v>12.3</v>
      </c>
      <c r="D125" s="9">
        <f t="shared" si="1"/>
        <v>46017.416666666664</v>
      </c>
    </row>
    <row r="126" spans="1:4" x14ac:dyDescent="0.25">
      <c r="A126" s="7">
        <v>46017.430555555547</v>
      </c>
      <c r="B126" s="8">
        <v>618</v>
      </c>
      <c r="C126" s="8">
        <v>10.7</v>
      </c>
      <c r="D126" s="9">
        <f t="shared" si="1"/>
        <v>46017.416666666664</v>
      </c>
    </row>
    <row r="127" spans="1:4" x14ac:dyDescent="0.25">
      <c r="A127" s="7">
        <v>46017.434027777781</v>
      </c>
      <c r="B127" s="8">
        <v>614.9</v>
      </c>
      <c r="C127" s="8">
        <v>10.1</v>
      </c>
      <c r="D127" s="9">
        <f t="shared" si="1"/>
        <v>46017.416666666664</v>
      </c>
    </row>
    <row r="128" spans="1:4" x14ac:dyDescent="0.25">
      <c r="A128" s="7">
        <v>46017.4375</v>
      </c>
      <c r="B128" s="8">
        <v>624.4</v>
      </c>
      <c r="C128" s="8">
        <v>9.4</v>
      </c>
      <c r="D128" s="9">
        <f t="shared" si="1"/>
        <v>46017.416666666664</v>
      </c>
    </row>
    <row r="129" spans="1:4" x14ac:dyDescent="0.25">
      <c r="A129" s="7">
        <v>46017.440972222219</v>
      </c>
      <c r="B129" s="8">
        <v>625.6</v>
      </c>
      <c r="C129" s="8">
        <v>11</v>
      </c>
      <c r="D129" s="9">
        <f t="shared" si="1"/>
        <v>46017.416666666664</v>
      </c>
    </row>
    <row r="130" spans="1:4" x14ac:dyDescent="0.25">
      <c r="A130" s="7">
        <v>46017.444444444453</v>
      </c>
      <c r="B130" s="8">
        <v>631.70000000000005</v>
      </c>
      <c r="C130" s="8">
        <v>11.9</v>
      </c>
      <c r="D130" s="9">
        <f t="shared" ref="D130:D193" si="2">IF(A130="","",INT(A130*24)/24)</f>
        <v>46017.416666666664</v>
      </c>
    </row>
    <row r="131" spans="1:4" x14ac:dyDescent="0.25">
      <c r="A131" s="7">
        <v>46017.447916666657</v>
      </c>
      <c r="B131" s="8">
        <v>624.79999999999995</v>
      </c>
      <c r="C131" s="8">
        <v>11.4</v>
      </c>
      <c r="D131" s="9">
        <f t="shared" si="2"/>
        <v>46017.416666666664</v>
      </c>
    </row>
    <row r="132" spans="1:4" x14ac:dyDescent="0.25">
      <c r="A132" s="7">
        <v>46017.451388888891</v>
      </c>
      <c r="B132" s="8">
        <v>628.29999999999995</v>
      </c>
      <c r="C132" s="8">
        <v>9.6999999999999993</v>
      </c>
      <c r="D132" s="9">
        <f t="shared" si="2"/>
        <v>46017.416666666664</v>
      </c>
    </row>
    <row r="133" spans="1:4" x14ac:dyDescent="0.25">
      <c r="A133" s="7">
        <v>46017.454861111109</v>
      </c>
      <c r="B133" s="8">
        <v>627.1</v>
      </c>
      <c r="C133" s="8">
        <v>10.199999999999999</v>
      </c>
      <c r="D133" s="9">
        <f t="shared" si="2"/>
        <v>46017.416666666664</v>
      </c>
    </row>
    <row r="134" spans="1:4" x14ac:dyDescent="0.25">
      <c r="A134" s="7">
        <v>46017.458333333343</v>
      </c>
      <c r="B134" s="8">
        <v>626.9</v>
      </c>
      <c r="C134" s="8">
        <v>11.5</v>
      </c>
      <c r="D134" s="9">
        <f t="shared" si="2"/>
        <v>46017.458333333336</v>
      </c>
    </row>
    <row r="135" spans="1:4" x14ac:dyDescent="0.25">
      <c r="A135" s="7">
        <v>46017.461805555547</v>
      </c>
      <c r="B135" s="8">
        <v>620.5</v>
      </c>
      <c r="C135" s="8">
        <v>12.6</v>
      </c>
      <c r="D135" s="9">
        <f t="shared" si="2"/>
        <v>46017.458333333336</v>
      </c>
    </row>
    <row r="136" spans="1:4" x14ac:dyDescent="0.25">
      <c r="A136" s="7">
        <v>46017.465277777781</v>
      </c>
      <c r="B136" s="8">
        <v>614.4</v>
      </c>
      <c r="C136" s="8">
        <v>12.6</v>
      </c>
      <c r="D136" s="9">
        <f t="shared" si="2"/>
        <v>46017.458333333336</v>
      </c>
    </row>
    <row r="137" spans="1:4" x14ac:dyDescent="0.25">
      <c r="A137" s="7">
        <v>46017.46875</v>
      </c>
      <c r="B137" s="8">
        <v>616.6</v>
      </c>
      <c r="C137" s="8">
        <v>13.8</v>
      </c>
      <c r="D137" s="9">
        <f t="shared" si="2"/>
        <v>46017.458333333336</v>
      </c>
    </row>
    <row r="138" spans="1:4" x14ac:dyDescent="0.25">
      <c r="A138" s="7">
        <v>46017.472222222219</v>
      </c>
      <c r="B138" s="8">
        <v>619</v>
      </c>
      <c r="C138" s="8">
        <v>14.8</v>
      </c>
      <c r="D138" s="9">
        <f t="shared" si="2"/>
        <v>46017.458333333336</v>
      </c>
    </row>
    <row r="139" spans="1:4" x14ac:dyDescent="0.25">
      <c r="A139" s="7">
        <v>46017.475694444453</v>
      </c>
      <c r="B139" s="8">
        <v>619.5</v>
      </c>
      <c r="C139" s="8">
        <v>14.1</v>
      </c>
      <c r="D139" s="9">
        <f t="shared" si="2"/>
        <v>46017.458333333336</v>
      </c>
    </row>
    <row r="140" spans="1:4" x14ac:dyDescent="0.25">
      <c r="A140" s="7">
        <v>46017.479166666657</v>
      </c>
      <c r="B140" s="8">
        <v>615.1</v>
      </c>
      <c r="C140" s="8">
        <v>14.4</v>
      </c>
      <c r="D140" s="9">
        <f t="shared" si="2"/>
        <v>46017.458333333336</v>
      </c>
    </row>
    <row r="141" spans="1:4" x14ac:dyDescent="0.25">
      <c r="A141" s="7">
        <v>46017.482638888891</v>
      </c>
      <c r="B141" s="8">
        <v>613</v>
      </c>
      <c r="C141" s="8">
        <v>14.3</v>
      </c>
      <c r="D141" s="9">
        <f t="shared" si="2"/>
        <v>46017.458333333336</v>
      </c>
    </row>
    <row r="142" spans="1:4" x14ac:dyDescent="0.25">
      <c r="A142" s="7">
        <v>46017.486111111109</v>
      </c>
      <c r="B142" s="8">
        <v>617.70000000000005</v>
      </c>
      <c r="C142" s="8">
        <v>15.8</v>
      </c>
      <c r="D142" s="9">
        <f t="shared" si="2"/>
        <v>46017.458333333336</v>
      </c>
    </row>
    <row r="143" spans="1:4" x14ac:dyDescent="0.25">
      <c r="A143" s="7">
        <v>46017.489583333343</v>
      </c>
      <c r="B143" s="8">
        <v>616</v>
      </c>
      <c r="C143" s="8">
        <v>14.1</v>
      </c>
      <c r="D143" s="9">
        <f t="shared" si="2"/>
        <v>46017.458333333336</v>
      </c>
    </row>
    <row r="144" spans="1:4" x14ac:dyDescent="0.25">
      <c r="A144" s="7">
        <v>46017.493055555547</v>
      </c>
      <c r="B144" s="8">
        <v>613.29999999999995</v>
      </c>
      <c r="C144" s="8">
        <v>13.7</v>
      </c>
      <c r="D144" s="9">
        <f t="shared" si="2"/>
        <v>46017.458333333336</v>
      </c>
    </row>
    <row r="145" spans="1:4" x14ac:dyDescent="0.25">
      <c r="A145" s="7">
        <v>46017.496527777781</v>
      </c>
      <c r="B145" s="8">
        <v>621.1</v>
      </c>
      <c r="C145" s="8">
        <v>12.9</v>
      </c>
      <c r="D145" s="9">
        <f t="shared" si="2"/>
        <v>46017.458333333336</v>
      </c>
    </row>
    <row r="146" spans="1:4" x14ac:dyDescent="0.25">
      <c r="A146" s="7">
        <v>46017.5</v>
      </c>
      <c r="B146" s="8">
        <v>622.5</v>
      </c>
      <c r="C146" s="8">
        <v>13.4</v>
      </c>
      <c r="D146" s="9">
        <f t="shared" si="2"/>
        <v>46017.5</v>
      </c>
    </row>
    <row r="147" spans="1:4" x14ac:dyDescent="0.25">
      <c r="D147" s="9" t="str">
        <f t="shared" si="2"/>
        <v/>
      </c>
    </row>
    <row r="148" spans="1:4" x14ac:dyDescent="0.25">
      <c r="D148" s="9" t="str">
        <f t="shared" si="2"/>
        <v/>
      </c>
    </row>
    <row r="149" spans="1:4" x14ac:dyDescent="0.25">
      <c r="D149" s="9" t="str">
        <f t="shared" si="2"/>
        <v/>
      </c>
    </row>
    <row r="150" spans="1:4" x14ac:dyDescent="0.25">
      <c r="D150" s="9" t="str">
        <f t="shared" si="2"/>
        <v/>
      </c>
    </row>
    <row r="151" spans="1:4" x14ac:dyDescent="0.25">
      <c r="D151" s="9" t="str">
        <f t="shared" si="2"/>
        <v/>
      </c>
    </row>
    <row r="152" spans="1:4" x14ac:dyDescent="0.25">
      <c r="D152" s="9" t="str">
        <f t="shared" si="2"/>
        <v/>
      </c>
    </row>
    <row r="153" spans="1:4" x14ac:dyDescent="0.25">
      <c r="D153" s="9" t="str">
        <f t="shared" si="2"/>
        <v/>
      </c>
    </row>
    <row r="154" spans="1:4" x14ac:dyDescent="0.25">
      <c r="D154" s="9" t="str">
        <f t="shared" si="2"/>
        <v/>
      </c>
    </row>
    <row r="155" spans="1:4" x14ac:dyDescent="0.25">
      <c r="D155" s="9" t="str">
        <f t="shared" si="2"/>
        <v/>
      </c>
    </row>
    <row r="156" spans="1:4" x14ac:dyDescent="0.25">
      <c r="D156" s="9" t="str">
        <f t="shared" si="2"/>
        <v/>
      </c>
    </row>
    <row r="157" spans="1:4" x14ac:dyDescent="0.25">
      <c r="D157" s="9" t="str">
        <f t="shared" si="2"/>
        <v/>
      </c>
    </row>
    <row r="158" spans="1:4" x14ac:dyDescent="0.25">
      <c r="D158" s="9" t="str">
        <f t="shared" si="2"/>
        <v/>
      </c>
    </row>
    <row r="159" spans="1:4" x14ac:dyDescent="0.25">
      <c r="D159" s="9" t="str">
        <f t="shared" si="2"/>
        <v/>
      </c>
    </row>
    <row r="160" spans="1:4" x14ac:dyDescent="0.25">
      <c r="D160" s="9" t="str">
        <f t="shared" si="2"/>
        <v/>
      </c>
    </row>
    <row r="161" spans="4:4" x14ac:dyDescent="0.25">
      <c r="D161" s="9" t="str">
        <f t="shared" si="2"/>
        <v/>
      </c>
    </row>
    <row r="162" spans="4:4" x14ac:dyDescent="0.25">
      <c r="D162" s="9" t="str">
        <f t="shared" si="2"/>
        <v/>
      </c>
    </row>
    <row r="163" spans="4:4" x14ac:dyDescent="0.25">
      <c r="D163" s="9" t="str">
        <f t="shared" si="2"/>
        <v/>
      </c>
    </row>
    <row r="164" spans="4:4" x14ac:dyDescent="0.25">
      <c r="D164" s="9" t="str">
        <f t="shared" si="2"/>
        <v/>
      </c>
    </row>
    <row r="165" spans="4:4" x14ac:dyDescent="0.25">
      <c r="D165" s="9" t="str">
        <f t="shared" si="2"/>
        <v/>
      </c>
    </row>
    <row r="166" spans="4:4" x14ac:dyDescent="0.25">
      <c r="D166" s="9" t="str">
        <f t="shared" si="2"/>
        <v/>
      </c>
    </row>
    <row r="167" spans="4:4" x14ac:dyDescent="0.25">
      <c r="D167" s="9" t="str">
        <f t="shared" si="2"/>
        <v/>
      </c>
    </row>
    <row r="168" spans="4:4" x14ac:dyDescent="0.25">
      <c r="D168" s="9" t="str">
        <f t="shared" si="2"/>
        <v/>
      </c>
    </row>
    <row r="169" spans="4:4" x14ac:dyDescent="0.25">
      <c r="D169" s="9" t="str">
        <f t="shared" si="2"/>
        <v/>
      </c>
    </row>
    <row r="170" spans="4:4" x14ac:dyDescent="0.25">
      <c r="D170" s="9" t="str">
        <f t="shared" si="2"/>
        <v/>
      </c>
    </row>
    <row r="171" spans="4:4" x14ac:dyDescent="0.25">
      <c r="D171" s="9" t="str">
        <f t="shared" si="2"/>
        <v/>
      </c>
    </row>
    <row r="172" spans="4:4" x14ac:dyDescent="0.25">
      <c r="D172" s="9" t="str">
        <f t="shared" si="2"/>
        <v/>
      </c>
    </row>
    <row r="173" spans="4:4" x14ac:dyDescent="0.25">
      <c r="D173" s="9" t="str">
        <f t="shared" si="2"/>
        <v/>
      </c>
    </row>
    <row r="174" spans="4:4" x14ac:dyDescent="0.25">
      <c r="D174" s="9" t="str">
        <f t="shared" si="2"/>
        <v/>
      </c>
    </row>
    <row r="175" spans="4:4" x14ac:dyDescent="0.25">
      <c r="D175" s="9" t="str">
        <f t="shared" si="2"/>
        <v/>
      </c>
    </row>
    <row r="176" spans="4:4" x14ac:dyDescent="0.25">
      <c r="D176" s="9" t="str">
        <f t="shared" si="2"/>
        <v/>
      </c>
    </row>
    <row r="177" spans="4:4" x14ac:dyDescent="0.25">
      <c r="D177" s="9" t="str">
        <f t="shared" si="2"/>
        <v/>
      </c>
    </row>
    <row r="178" spans="4:4" x14ac:dyDescent="0.25">
      <c r="D178" s="9" t="str">
        <f t="shared" si="2"/>
        <v/>
      </c>
    </row>
    <row r="179" spans="4:4" x14ac:dyDescent="0.25">
      <c r="D179" s="9" t="str">
        <f t="shared" si="2"/>
        <v/>
      </c>
    </row>
    <row r="180" spans="4:4" x14ac:dyDescent="0.25">
      <c r="D180" s="9" t="str">
        <f t="shared" si="2"/>
        <v/>
      </c>
    </row>
    <row r="181" spans="4:4" x14ac:dyDescent="0.25">
      <c r="D181" s="9" t="str">
        <f t="shared" si="2"/>
        <v/>
      </c>
    </row>
    <row r="182" spans="4:4" x14ac:dyDescent="0.25">
      <c r="D182" s="9" t="str">
        <f t="shared" si="2"/>
        <v/>
      </c>
    </row>
    <row r="183" spans="4:4" x14ac:dyDescent="0.25">
      <c r="D183" s="9" t="str">
        <f t="shared" si="2"/>
        <v/>
      </c>
    </row>
    <row r="184" spans="4:4" x14ac:dyDescent="0.25">
      <c r="D184" s="9" t="str">
        <f t="shared" si="2"/>
        <v/>
      </c>
    </row>
    <row r="185" spans="4:4" x14ac:dyDescent="0.25">
      <c r="D185" s="9" t="str">
        <f t="shared" si="2"/>
        <v/>
      </c>
    </row>
    <row r="186" spans="4:4" x14ac:dyDescent="0.25">
      <c r="D186" s="9" t="str">
        <f t="shared" si="2"/>
        <v/>
      </c>
    </row>
    <row r="187" spans="4:4" x14ac:dyDescent="0.25">
      <c r="D187" s="9" t="str">
        <f t="shared" si="2"/>
        <v/>
      </c>
    </row>
    <row r="188" spans="4:4" x14ac:dyDescent="0.25">
      <c r="D188" s="9" t="str">
        <f t="shared" si="2"/>
        <v/>
      </c>
    </row>
    <row r="189" spans="4:4" x14ac:dyDescent="0.25">
      <c r="D189" s="9" t="str">
        <f t="shared" si="2"/>
        <v/>
      </c>
    </row>
    <row r="190" spans="4:4" x14ac:dyDescent="0.25">
      <c r="D190" s="9" t="str">
        <f t="shared" si="2"/>
        <v/>
      </c>
    </row>
    <row r="191" spans="4:4" x14ac:dyDescent="0.25">
      <c r="D191" s="9" t="str">
        <f t="shared" si="2"/>
        <v/>
      </c>
    </row>
    <row r="192" spans="4:4" x14ac:dyDescent="0.25">
      <c r="D192" s="9" t="str">
        <f t="shared" si="2"/>
        <v/>
      </c>
    </row>
    <row r="193" spans="4:4" x14ac:dyDescent="0.25">
      <c r="D193" s="9" t="str">
        <f t="shared" si="2"/>
        <v/>
      </c>
    </row>
    <row r="194" spans="4:4" x14ac:dyDescent="0.25">
      <c r="D194" s="9" t="str">
        <f t="shared" ref="D194:D257" si="3">IF(A194="","",INT(A194*24)/24)</f>
        <v/>
      </c>
    </row>
    <row r="195" spans="4:4" x14ac:dyDescent="0.25">
      <c r="D195" s="9" t="str">
        <f t="shared" si="3"/>
        <v/>
      </c>
    </row>
    <row r="196" spans="4:4" x14ac:dyDescent="0.25">
      <c r="D196" s="9" t="str">
        <f t="shared" si="3"/>
        <v/>
      </c>
    </row>
    <row r="197" spans="4:4" x14ac:dyDescent="0.25">
      <c r="D197" s="9" t="str">
        <f t="shared" si="3"/>
        <v/>
      </c>
    </row>
    <row r="198" spans="4:4" x14ac:dyDescent="0.25">
      <c r="D198" s="9" t="str">
        <f t="shared" si="3"/>
        <v/>
      </c>
    </row>
    <row r="199" spans="4:4" x14ac:dyDescent="0.25">
      <c r="D199" s="9" t="str">
        <f t="shared" si="3"/>
        <v/>
      </c>
    </row>
    <row r="200" spans="4:4" x14ac:dyDescent="0.25">
      <c r="D200" s="9" t="str">
        <f t="shared" si="3"/>
        <v/>
      </c>
    </row>
    <row r="201" spans="4:4" x14ac:dyDescent="0.25">
      <c r="D201" s="9" t="str">
        <f t="shared" si="3"/>
        <v/>
      </c>
    </row>
    <row r="202" spans="4:4" x14ac:dyDescent="0.25">
      <c r="D202" s="9" t="str">
        <f t="shared" si="3"/>
        <v/>
      </c>
    </row>
    <row r="203" spans="4:4" x14ac:dyDescent="0.25">
      <c r="D203" s="9" t="str">
        <f t="shared" si="3"/>
        <v/>
      </c>
    </row>
    <row r="204" spans="4:4" x14ac:dyDescent="0.25">
      <c r="D204" s="9" t="str">
        <f t="shared" si="3"/>
        <v/>
      </c>
    </row>
    <row r="205" spans="4:4" x14ac:dyDescent="0.25">
      <c r="D205" s="9" t="str">
        <f t="shared" si="3"/>
        <v/>
      </c>
    </row>
    <row r="206" spans="4:4" x14ac:dyDescent="0.25">
      <c r="D206" s="9" t="str">
        <f t="shared" si="3"/>
        <v/>
      </c>
    </row>
    <row r="207" spans="4:4" x14ac:dyDescent="0.25">
      <c r="D207" s="9" t="str">
        <f t="shared" si="3"/>
        <v/>
      </c>
    </row>
    <row r="208" spans="4:4" x14ac:dyDescent="0.25">
      <c r="D208" s="9" t="str">
        <f t="shared" si="3"/>
        <v/>
      </c>
    </row>
    <row r="209" spans="4:4" x14ac:dyDescent="0.25">
      <c r="D209" s="9" t="str">
        <f t="shared" si="3"/>
        <v/>
      </c>
    </row>
    <row r="210" spans="4:4" x14ac:dyDescent="0.25">
      <c r="D210" s="9" t="str">
        <f t="shared" si="3"/>
        <v/>
      </c>
    </row>
    <row r="211" spans="4:4" x14ac:dyDescent="0.25">
      <c r="D211" s="9" t="str">
        <f t="shared" si="3"/>
        <v/>
      </c>
    </row>
    <row r="212" spans="4:4" x14ac:dyDescent="0.25">
      <c r="D212" s="9" t="str">
        <f t="shared" si="3"/>
        <v/>
      </c>
    </row>
    <row r="213" spans="4:4" x14ac:dyDescent="0.25">
      <c r="D213" s="9" t="str">
        <f t="shared" si="3"/>
        <v/>
      </c>
    </row>
    <row r="214" spans="4:4" x14ac:dyDescent="0.25">
      <c r="D214" s="9" t="str">
        <f t="shared" si="3"/>
        <v/>
      </c>
    </row>
    <row r="215" spans="4:4" x14ac:dyDescent="0.25">
      <c r="D215" s="9" t="str">
        <f t="shared" si="3"/>
        <v/>
      </c>
    </row>
    <row r="216" spans="4:4" x14ac:dyDescent="0.25">
      <c r="D216" s="9" t="str">
        <f t="shared" si="3"/>
        <v/>
      </c>
    </row>
    <row r="217" spans="4:4" x14ac:dyDescent="0.25">
      <c r="D217" s="9" t="str">
        <f t="shared" si="3"/>
        <v/>
      </c>
    </row>
    <row r="218" spans="4:4" x14ac:dyDescent="0.25">
      <c r="D218" s="9" t="str">
        <f t="shared" si="3"/>
        <v/>
      </c>
    </row>
    <row r="219" spans="4:4" x14ac:dyDescent="0.25">
      <c r="D219" s="9" t="str">
        <f t="shared" si="3"/>
        <v/>
      </c>
    </row>
    <row r="220" spans="4:4" x14ac:dyDescent="0.25">
      <c r="D220" s="9" t="str">
        <f t="shared" si="3"/>
        <v/>
      </c>
    </row>
    <row r="221" spans="4:4" x14ac:dyDescent="0.25">
      <c r="D221" s="9" t="str">
        <f t="shared" si="3"/>
        <v/>
      </c>
    </row>
    <row r="222" spans="4:4" x14ac:dyDescent="0.25">
      <c r="D222" s="9" t="str">
        <f t="shared" si="3"/>
        <v/>
      </c>
    </row>
    <row r="223" spans="4:4" x14ac:dyDescent="0.25">
      <c r="D223" s="9" t="str">
        <f t="shared" si="3"/>
        <v/>
      </c>
    </row>
    <row r="224" spans="4:4" x14ac:dyDescent="0.25">
      <c r="D224" s="9" t="str">
        <f t="shared" si="3"/>
        <v/>
      </c>
    </row>
    <row r="225" spans="4:4" x14ac:dyDescent="0.25">
      <c r="D225" s="9" t="str">
        <f t="shared" si="3"/>
        <v/>
      </c>
    </row>
    <row r="226" spans="4:4" x14ac:dyDescent="0.25">
      <c r="D226" s="9" t="str">
        <f t="shared" si="3"/>
        <v/>
      </c>
    </row>
    <row r="227" spans="4:4" x14ac:dyDescent="0.25">
      <c r="D227" s="9" t="str">
        <f t="shared" si="3"/>
        <v/>
      </c>
    </row>
    <row r="228" spans="4:4" x14ac:dyDescent="0.25">
      <c r="D228" s="9" t="str">
        <f t="shared" si="3"/>
        <v/>
      </c>
    </row>
    <row r="229" spans="4:4" x14ac:dyDescent="0.25">
      <c r="D229" s="9" t="str">
        <f t="shared" si="3"/>
        <v/>
      </c>
    </row>
    <row r="230" spans="4:4" x14ac:dyDescent="0.25">
      <c r="D230" s="9" t="str">
        <f t="shared" si="3"/>
        <v/>
      </c>
    </row>
    <row r="231" spans="4:4" x14ac:dyDescent="0.25">
      <c r="D231" s="9" t="str">
        <f t="shared" si="3"/>
        <v/>
      </c>
    </row>
    <row r="232" spans="4:4" x14ac:dyDescent="0.25">
      <c r="D232" s="9" t="str">
        <f t="shared" si="3"/>
        <v/>
      </c>
    </row>
    <row r="233" spans="4:4" x14ac:dyDescent="0.25">
      <c r="D233" s="9" t="str">
        <f t="shared" si="3"/>
        <v/>
      </c>
    </row>
    <row r="234" spans="4:4" x14ac:dyDescent="0.25">
      <c r="D234" s="9" t="str">
        <f t="shared" si="3"/>
        <v/>
      </c>
    </row>
    <row r="235" spans="4:4" x14ac:dyDescent="0.25">
      <c r="D235" s="9" t="str">
        <f t="shared" si="3"/>
        <v/>
      </c>
    </row>
    <row r="236" spans="4:4" x14ac:dyDescent="0.25">
      <c r="D236" s="9" t="str">
        <f t="shared" si="3"/>
        <v/>
      </c>
    </row>
    <row r="237" spans="4:4" x14ac:dyDescent="0.25">
      <c r="D237" s="9" t="str">
        <f t="shared" si="3"/>
        <v/>
      </c>
    </row>
    <row r="238" spans="4:4" x14ac:dyDescent="0.25">
      <c r="D238" s="9" t="str">
        <f t="shared" si="3"/>
        <v/>
      </c>
    </row>
    <row r="239" spans="4:4" x14ac:dyDescent="0.25">
      <c r="D239" s="9" t="str">
        <f t="shared" si="3"/>
        <v/>
      </c>
    </row>
    <row r="240" spans="4:4" x14ac:dyDescent="0.25">
      <c r="D240" s="9" t="str">
        <f t="shared" si="3"/>
        <v/>
      </c>
    </row>
    <row r="241" spans="4:4" x14ac:dyDescent="0.25">
      <c r="D241" s="9" t="str">
        <f t="shared" si="3"/>
        <v/>
      </c>
    </row>
    <row r="242" spans="4:4" x14ac:dyDescent="0.25">
      <c r="D242" s="9" t="str">
        <f t="shared" si="3"/>
        <v/>
      </c>
    </row>
    <row r="243" spans="4:4" x14ac:dyDescent="0.25">
      <c r="D243" s="9" t="str">
        <f t="shared" si="3"/>
        <v/>
      </c>
    </row>
    <row r="244" spans="4:4" x14ac:dyDescent="0.25">
      <c r="D244" s="9" t="str">
        <f t="shared" si="3"/>
        <v/>
      </c>
    </row>
    <row r="245" spans="4:4" x14ac:dyDescent="0.25">
      <c r="D245" s="9" t="str">
        <f t="shared" si="3"/>
        <v/>
      </c>
    </row>
    <row r="246" spans="4:4" x14ac:dyDescent="0.25">
      <c r="D246" s="9" t="str">
        <f t="shared" si="3"/>
        <v/>
      </c>
    </row>
    <row r="247" spans="4:4" x14ac:dyDescent="0.25">
      <c r="D247" s="9" t="str">
        <f t="shared" si="3"/>
        <v/>
      </c>
    </row>
    <row r="248" spans="4:4" x14ac:dyDescent="0.25">
      <c r="D248" s="9" t="str">
        <f t="shared" si="3"/>
        <v/>
      </c>
    </row>
    <row r="249" spans="4:4" x14ac:dyDescent="0.25">
      <c r="D249" s="9" t="str">
        <f t="shared" si="3"/>
        <v/>
      </c>
    </row>
    <row r="250" spans="4:4" x14ac:dyDescent="0.25">
      <c r="D250" s="9" t="str">
        <f t="shared" si="3"/>
        <v/>
      </c>
    </row>
    <row r="251" spans="4:4" x14ac:dyDescent="0.25">
      <c r="D251" s="9" t="str">
        <f t="shared" si="3"/>
        <v/>
      </c>
    </row>
    <row r="252" spans="4:4" x14ac:dyDescent="0.25">
      <c r="D252" s="9" t="str">
        <f t="shared" si="3"/>
        <v/>
      </c>
    </row>
    <row r="253" spans="4:4" x14ac:dyDescent="0.25">
      <c r="D253" s="9" t="str">
        <f t="shared" si="3"/>
        <v/>
      </c>
    </row>
    <row r="254" spans="4:4" x14ac:dyDescent="0.25">
      <c r="D254" s="9" t="str">
        <f t="shared" si="3"/>
        <v/>
      </c>
    </row>
    <row r="255" spans="4:4" x14ac:dyDescent="0.25">
      <c r="D255" s="9" t="str">
        <f t="shared" si="3"/>
        <v/>
      </c>
    </row>
    <row r="256" spans="4:4" x14ac:dyDescent="0.25">
      <c r="D256" s="9" t="str">
        <f t="shared" si="3"/>
        <v/>
      </c>
    </row>
    <row r="257" spans="4:4" x14ac:dyDescent="0.25">
      <c r="D257" s="9" t="str">
        <f t="shared" si="3"/>
        <v/>
      </c>
    </row>
    <row r="258" spans="4:4" x14ac:dyDescent="0.25">
      <c r="D258" s="9" t="str">
        <f t="shared" ref="D258:D321" si="4">IF(A258="","",INT(A258*24)/24)</f>
        <v/>
      </c>
    </row>
    <row r="259" spans="4:4" x14ac:dyDescent="0.25">
      <c r="D259" s="9" t="str">
        <f t="shared" si="4"/>
        <v/>
      </c>
    </row>
    <row r="260" spans="4:4" x14ac:dyDescent="0.25">
      <c r="D260" s="9" t="str">
        <f t="shared" si="4"/>
        <v/>
      </c>
    </row>
    <row r="261" spans="4:4" x14ac:dyDescent="0.25">
      <c r="D261" s="9" t="str">
        <f t="shared" si="4"/>
        <v/>
      </c>
    </row>
    <row r="262" spans="4:4" x14ac:dyDescent="0.25">
      <c r="D262" s="9" t="str">
        <f t="shared" si="4"/>
        <v/>
      </c>
    </row>
    <row r="263" spans="4:4" x14ac:dyDescent="0.25">
      <c r="D263" s="9" t="str">
        <f t="shared" si="4"/>
        <v/>
      </c>
    </row>
    <row r="264" spans="4:4" x14ac:dyDescent="0.25">
      <c r="D264" s="9" t="str">
        <f t="shared" si="4"/>
        <v/>
      </c>
    </row>
    <row r="265" spans="4:4" x14ac:dyDescent="0.25">
      <c r="D265" s="9" t="str">
        <f t="shared" si="4"/>
        <v/>
      </c>
    </row>
    <row r="266" spans="4:4" x14ac:dyDescent="0.25">
      <c r="D266" s="9" t="str">
        <f t="shared" si="4"/>
        <v/>
      </c>
    </row>
    <row r="267" spans="4:4" x14ac:dyDescent="0.25">
      <c r="D267" s="9" t="str">
        <f t="shared" si="4"/>
        <v/>
      </c>
    </row>
    <row r="268" spans="4:4" x14ac:dyDescent="0.25">
      <c r="D268" s="9" t="str">
        <f t="shared" si="4"/>
        <v/>
      </c>
    </row>
    <row r="269" spans="4:4" x14ac:dyDescent="0.25">
      <c r="D269" s="9" t="str">
        <f t="shared" si="4"/>
        <v/>
      </c>
    </row>
    <row r="270" spans="4:4" x14ac:dyDescent="0.25">
      <c r="D270" s="9" t="str">
        <f t="shared" si="4"/>
        <v/>
      </c>
    </row>
    <row r="271" spans="4:4" x14ac:dyDescent="0.25">
      <c r="D271" s="9" t="str">
        <f t="shared" si="4"/>
        <v/>
      </c>
    </row>
    <row r="272" spans="4:4" x14ac:dyDescent="0.25">
      <c r="D272" s="9" t="str">
        <f t="shared" si="4"/>
        <v/>
      </c>
    </row>
    <row r="273" spans="4:4" x14ac:dyDescent="0.25">
      <c r="D273" s="9" t="str">
        <f t="shared" si="4"/>
        <v/>
      </c>
    </row>
    <row r="274" spans="4:4" x14ac:dyDescent="0.25">
      <c r="D274" s="9" t="str">
        <f t="shared" si="4"/>
        <v/>
      </c>
    </row>
    <row r="275" spans="4:4" x14ac:dyDescent="0.25">
      <c r="D275" s="9" t="str">
        <f t="shared" si="4"/>
        <v/>
      </c>
    </row>
    <row r="276" spans="4:4" x14ac:dyDescent="0.25">
      <c r="D276" s="9" t="str">
        <f t="shared" si="4"/>
        <v/>
      </c>
    </row>
    <row r="277" spans="4:4" x14ac:dyDescent="0.25">
      <c r="D277" s="9" t="str">
        <f t="shared" si="4"/>
        <v/>
      </c>
    </row>
    <row r="278" spans="4:4" x14ac:dyDescent="0.25">
      <c r="D278" s="9" t="str">
        <f t="shared" si="4"/>
        <v/>
      </c>
    </row>
    <row r="279" spans="4:4" x14ac:dyDescent="0.25">
      <c r="D279" s="9" t="str">
        <f t="shared" si="4"/>
        <v/>
      </c>
    </row>
    <row r="280" spans="4:4" x14ac:dyDescent="0.25">
      <c r="D280" s="9" t="str">
        <f t="shared" si="4"/>
        <v/>
      </c>
    </row>
    <row r="281" spans="4:4" x14ac:dyDescent="0.25">
      <c r="D281" s="9" t="str">
        <f t="shared" si="4"/>
        <v/>
      </c>
    </row>
    <row r="282" spans="4:4" x14ac:dyDescent="0.25">
      <c r="D282" s="9" t="str">
        <f t="shared" si="4"/>
        <v/>
      </c>
    </row>
    <row r="283" spans="4:4" x14ac:dyDescent="0.25">
      <c r="D283" s="9" t="str">
        <f t="shared" si="4"/>
        <v/>
      </c>
    </row>
    <row r="284" spans="4:4" x14ac:dyDescent="0.25">
      <c r="D284" s="9" t="str">
        <f t="shared" si="4"/>
        <v/>
      </c>
    </row>
    <row r="285" spans="4:4" x14ac:dyDescent="0.25">
      <c r="D285" s="9" t="str">
        <f t="shared" si="4"/>
        <v/>
      </c>
    </row>
    <row r="286" spans="4:4" x14ac:dyDescent="0.25">
      <c r="D286" s="9" t="str">
        <f t="shared" si="4"/>
        <v/>
      </c>
    </row>
    <row r="287" spans="4:4" x14ac:dyDescent="0.25">
      <c r="D287" s="9" t="str">
        <f t="shared" si="4"/>
        <v/>
      </c>
    </row>
    <row r="288" spans="4:4" x14ac:dyDescent="0.25">
      <c r="D288" s="9" t="str">
        <f t="shared" si="4"/>
        <v/>
      </c>
    </row>
    <row r="289" spans="4:4" x14ac:dyDescent="0.25">
      <c r="D289" s="9" t="str">
        <f t="shared" si="4"/>
        <v/>
      </c>
    </row>
    <row r="290" spans="4:4" x14ac:dyDescent="0.25">
      <c r="D290" s="9" t="str">
        <f t="shared" si="4"/>
        <v/>
      </c>
    </row>
    <row r="291" spans="4:4" x14ac:dyDescent="0.25">
      <c r="D291" s="9" t="str">
        <f t="shared" si="4"/>
        <v/>
      </c>
    </row>
    <row r="292" spans="4:4" x14ac:dyDescent="0.25">
      <c r="D292" s="9" t="str">
        <f t="shared" si="4"/>
        <v/>
      </c>
    </row>
    <row r="293" spans="4:4" x14ac:dyDescent="0.25">
      <c r="D293" s="9" t="str">
        <f t="shared" si="4"/>
        <v/>
      </c>
    </row>
    <row r="294" spans="4:4" x14ac:dyDescent="0.25">
      <c r="D294" s="9" t="str">
        <f t="shared" si="4"/>
        <v/>
      </c>
    </row>
    <row r="295" spans="4:4" x14ac:dyDescent="0.25">
      <c r="D295" s="9" t="str">
        <f t="shared" si="4"/>
        <v/>
      </c>
    </row>
    <row r="296" spans="4:4" x14ac:dyDescent="0.25">
      <c r="D296" s="9" t="str">
        <f t="shared" si="4"/>
        <v/>
      </c>
    </row>
    <row r="297" spans="4:4" x14ac:dyDescent="0.25">
      <c r="D297" s="9" t="str">
        <f t="shared" si="4"/>
        <v/>
      </c>
    </row>
    <row r="298" spans="4:4" x14ac:dyDescent="0.25">
      <c r="D298" s="9" t="str">
        <f t="shared" si="4"/>
        <v/>
      </c>
    </row>
    <row r="299" spans="4:4" x14ac:dyDescent="0.25">
      <c r="D299" s="9" t="str">
        <f t="shared" si="4"/>
        <v/>
      </c>
    </row>
    <row r="300" spans="4:4" x14ac:dyDescent="0.25">
      <c r="D300" s="9" t="str">
        <f t="shared" si="4"/>
        <v/>
      </c>
    </row>
    <row r="301" spans="4:4" x14ac:dyDescent="0.25">
      <c r="D301" s="9" t="str">
        <f t="shared" si="4"/>
        <v/>
      </c>
    </row>
    <row r="302" spans="4:4" x14ac:dyDescent="0.25">
      <c r="D302" s="9" t="str">
        <f t="shared" si="4"/>
        <v/>
      </c>
    </row>
    <row r="303" spans="4:4" x14ac:dyDescent="0.25">
      <c r="D303" s="9" t="str">
        <f t="shared" si="4"/>
        <v/>
      </c>
    </row>
    <row r="304" spans="4:4" x14ac:dyDescent="0.25">
      <c r="D304" s="9" t="str">
        <f t="shared" si="4"/>
        <v/>
      </c>
    </row>
    <row r="305" spans="4:4" x14ac:dyDescent="0.25">
      <c r="D305" s="9" t="str">
        <f t="shared" si="4"/>
        <v/>
      </c>
    </row>
    <row r="306" spans="4:4" x14ac:dyDescent="0.25">
      <c r="D306" s="9" t="str">
        <f t="shared" si="4"/>
        <v/>
      </c>
    </row>
    <row r="307" spans="4:4" x14ac:dyDescent="0.25">
      <c r="D307" s="9" t="str">
        <f t="shared" si="4"/>
        <v/>
      </c>
    </row>
    <row r="308" spans="4:4" x14ac:dyDescent="0.25">
      <c r="D308" s="9" t="str">
        <f t="shared" si="4"/>
        <v/>
      </c>
    </row>
    <row r="309" spans="4:4" x14ac:dyDescent="0.25">
      <c r="D309" s="9" t="str">
        <f t="shared" si="4"/>
        <v/>
      </c>
    </row>
    <row r="310" spans="4:4" x14ac:dyDescent="0.25">
      <c r="D310" s="9" t="str">
        <f t="shared" si="4"/>
        <v/>
      </c>
    </row>
    <row r="311" spans="4:4" x14ac:dyDescent="0.25">
      <c r="D311" s="9" t="str">
        <f t="shared" si="4"/>
        <v/>
      </c>
    </row>
    <row r="312" spans="4:4" x14ac:dyDescent="0.25">
      <c r="D312" s="9" t="str">
        <f t="shared" si="4"/>
        <v/>
      </c>
    </row>
    <row r="313" spans="4:4" x14ac:dyDescent="0.25">
      <c r="D313" s="9" t="str">
        <f t="shared" si="4"/>
        <v/>
      </c>
    </row>
    <row r="314" spans="4:4" x14ac:dyDescent="0.25">
      <c r="D314" s="9" t="str">
        <f t="shared" si="4"/>
        <v/>
      </c>
    </row>
    <row r="315" spans="4:4" x14ac:dyDescent="0.25">
      <c r="D315" s="9" t="str">
        <f t="shared" si="4"/>
        <v/>
      </c>
    </row>
    <row r="316" spans="4:4" x14ac:dyDescent="0.25">
      <c r="D316" s="9" t="str">
        <f t="shared" si="4"/>
        <v/>
      </c>
    </row>
    <row r="317" spans="4:4" x14ac:dyDescent="0.25">
      <c r="D317" s="9" t="str">
        <f t="shared" si="4"/>
        <v/>
      </c>
    </row>
    <row r="318" spans="4:4" x14ac:dyDescent="0.25">
      <c r="D318" s="9" t="str">
        <f t="shared" si="4"/>
        <v/>
      </c>
    </row>
    <row r="319" spans="4:4" x14ac:dyDescent="0.25">
      <c r="D319" s="9" t="str">
        <f t="shared" si="4"/>
        <v/>
      </c>
    </row>
    <row r="320" spans="4:4" x14ac:dyDescent="0.25">
      <c r="D320" s="9" t="str">
        <f t="shared" si="4"/>
        <v/>
      </c>
    </row>
    <row r="321" spans="4:4" x14ac:dyDescent="0.25">
      <c r="D321" s="9" t="str">
        <f t="shared" si="4"/>
        <v/>
      </c>
    </row>
    <row r="322" spans="4:4" x14ac:dyDescent="0.25">
      <c r="D322" s="9" t="str">
        <f t="shared" ref="D322:D385" si="5">IF(A322="","",INT(A322*24)/24)</f>
        <v/>
      </c>
    </row>
    <row r="323" spans="4:4" x14ac:dyDescent="0.25">
      <c r="D323" s="9" t="str">
        <f t="shared" si="5"/>
        <v/>
      </c>
    </row>
    <row r="324" spans="4:4" x14ac:dyDescent="0.25">
      <c r="D324" s="9" t="str">
        <f t="shared" si="5"/>
        <v/>
      </c>
    </row>
    <row r="325" spans="4:4" x14ac:dyDescent="0.25">
      <c r="D325" s="9" t="str">
        <f t="shared" si="5"/>
        <v/>
      </c>
    </row>
    <row r="326" spans="4:4" x14ac:dyDescent="0.25">
      <c r="D326" s="9" t="str">
        <f t="shared" si="5"/>
        <v/>
      </c>
    </row>
    <row r="327" spans="4:4" x14ac:dyDescent="0.25">
      <c r="D327" s="9" t="str">
        <f t="shared" si="5"/>
        <v/>
      </c>
    </row>
    <row r="328" spans="4:4" x14ac:dyDescent="0.25">
      <c r="D328" s="9" t="str">
        <f t="shared" si="5"/>
        <v/>
      </c>
    </row>
    <row r="329" spans="4:4" x14ac:dyDescent="0.25">
      <c r="D329" s="9" t="str">
        <f t="shared" si="5"/>
        <v/>
      </c>
    </row>
    <row r="330" spans="4:4" x14ac:dyDescent="0.25">
      <c r="D330" s="9" t="str">
        <f t="shared" si="5"/>
        <v/>
      </c>
    </row>
    <row r="331" spans="4:4" x14ac:dyDescent="0.25">
      <c r="D331" s="9" t="str">
        <f t="shared" si="5"/>
        <v/>
      </c>
    </row>
    <row r="332" spans="4:4" x14ac:dyDescent="0.25">
      <c r="D332" s="9" t="str">
        <f t="shared" si="5"/>
        <v/>
      </c>
    </row>
    <row r="333" spans="4:4" x14ac:dyDescent="0.25">
      <c r="D333" s="9" t="str">
        <f t="shared" si="5"/>
        <v/>
      </c>
    </row>
    <row r="334" spans="4:4" x14ac:dyDescent="0.25">
      <c r="D334" s="9" t="str">
        <f t="shared" si="5"/>
        <v/>
      </c>
    </row>
    <row r="335" spans="4:4" x14ac:dyDescent="0.25">
      <c r="D335" s="9" t="str">
        <f t="shared" si="5"/>
        <v/>
      </c>
    </row>
    <row r="336" spans="4:4" x14ac:dyDescent="0.25">
      <c r="D336" s="9" t="str">
        <f t="shared" si="5"/>
        <v/>
      </c>
    </row>
    <row r="337" spans="4:4" x14ac:dyDescent="0.25">
      <c r="D337" s="9" t="str">
        <f t="shared" si="5"/>
        <v/>
      </c>
    </row>
    <row r="338" spans="4:4" x14ac:dyDescent="0.25">
      <c r="D338" s="9" t="str">
        <f t="shared" si="5"/>
        <v/>
      </c>
    </row>
    <row r="339" spans="4:4" x14ac:dyDescent="0.25">
      <c r="D339" s="9" t="str">
        <f t="shared" si="5"/>
        <v/>
      </c>
    </row>
    <row r="340" spans="4:4" x14ac:dyDescent="0.25">
      <c r="D340" s="9" t="str">
        <f t="shared" si="5"/>
        <v/>
      </c>
    </row>
    <row r="341" spans="4:4" x14ac:dyDescent="0.25">
      <c r="D341" s="9" t="str">
        <f t="shared" si="5"/>
        <v/>
      </c>
    </row>
    <row r="342" spans="4:4" x14ac:dyDescent="0.25">
      <c r="D342" s="9" t="str">
        <f t="shared" si="5"/>
        <v/>
      </c>
    </row>
    <row r="343" spans="4:4" x14ac:dyDescent="0.25">
      <c r="D343" s="9" t="str">
        <f t="shared" si="5"/>
        <v/>
      </c>
    </row>
    <row r="344" spans="4:4" x14ac:dyDescent="0.25">
      <c r="D344" s="9" t="str">
        <f t="shared" si="5"/>
        <v/>
      </c>
    </row>
    <row r="345" spans="4:4" x14ac:dyDescent="0.25">
      <c r="D345" s="9" t="str">
        <f t="shared" si="5"/>
        <v/>
      </c>
    </row>
    <row r="346" spans="4:4" x14ac:dyDescent="0.25">
      <c r="D346" s="9" t="str">
        <f t="shared" si="5"/>
        <v/>
      </c>
    </row>
    <row r="347" spans="4:4" x14ac:dyDescent="0.25">
      <c r="D347" s="9" t="str">
        <f t="shared" si="5"/>
        <v/>
      </c>
    </row>
    <row r="348" spans="4:4" x14ac:dyDescent="0.25">
      <c r="D348" s="9" t="str">
        <f t="shared" si="5"/>
        <v/>
      </c>
    </row>
    <row r="349" spans="4:4" x14ac:dyDescent="0.25">
      <c r="D349" s="9" t="str">
        <f t="shared" si="5"/>
        <v/>
      </c>
    </row>
    <row r="350" spans="4:4" x14ac:dyDescent="0.25">
      <c r="D350" s="9" t="str">
        <f t="shared" si="5"/>
        <v/>
      </c>
    </row>
    <row r="351" spans="4:4" x14ac:dyDescent="0.25">
      <c r="D351" s="9" t="str">
        <f t="shared" si="5"/>
        <v/>
      </c>
    </row>
    <row r="352" spans="4:4" x14ac:dyDescent="0.25">
      <c r="D352" s="9" t="str">
        <f t="shared" si="5"/>
        <v/>
      </c>
    </row>
    <row r="353" spans="4:4" x14ac:dyDescent="0.25">
      <c r="D353" s="9" t="str">
        <f t="shared" si="5"/>
        <v/>
      </c>
    </row>
    <row r="354" spans="4:4" x14ac:dyDescent="0.25">
      <c r="D354" s="9" t="str">
        <f t="shared" si="5"/>
        <v/>
      </c>
    </row>
    <row r="355" spans="4:4" x14ac:dyDescent="0.25">
      <c r="D355" s="9" t="str">
        <f t="shared" si="5"/>
        <v/>
      </c>
    </row>
    <row r="356" spans="4:4" x14ac:dyDescent="0.25">
      <c r="D356" s="9" t="str">
        <f t="shared" si="5"/>
        <v/>
      </c>
    </row>
    <row r="357" spans="4:4" x14ac:dyDescent="0.25">
      <c r="D357" s="9" t="str">
        <f t="shared" si="5"/>
        <v/>
      </c>
    </row>
    <row r="358" spans="4:4" x14ac:dyDescent="0.25">
      <c r="D358" s="9" t="str">
        <f t="shared" si="5"/>
        <v/>
      </c>
    </row>
    <row r="359" spans="4:4" x14ac:dyDescent="0.25">
      <c r="D359" s="9" t="str">
        <f t="shared" si="5"/>
        <v/>
      </c>
    </row>
    <row r="360" spans="4:4" x14ac:dyDescent="0.25">
      <c r="D360" s="9" t="str">
        <f t="shared" si="5"/>
        <v/>
      </c>
    </row>
    <row r="361" spans="4:4" x14ac:dyDescent="0.25">
      <c r="D361" s="9" t="str">
        <f t="shared" si="5"/>
        <v/>
      </c>
    </row>
    <row r="362" spans="4:4" x14ac:dyDescent="0.25">
      <c r="D362" s="9" t="str">
        <f t="shared" si="5"/>
        <v/>
      </c>
    </row>
    <row r="363" spans="4:4" x14ac:dyDescent="0.25">
      <c r="D363" s="9" t="str">
        <f t="shared" si="5"/>
        <v/>
      </c>
    </row>
    <row r="364" spans="4:4" x14ac:dyDescent="0.25">
      <c r="D364" s="9" t="str">
        <f t="shared" si="5"/>
        <v/>
      </c>
    </row>
    <row r="365" spans="4:4" x14ac:dyDescent="0.25">
      <c r="D365" s="9" t="str">
        <f t="shared" si="5"/>
        <v/>
      </c>
    </row>
    <row r="366" spans="4:4" x14ac:dyDescent="0.25">
      <c r="D366" s="9" t="str">
        <f t="shared" si="5"/>
        <v/>
      </c>
    </row>
    <row r="367" spans="4:4" x14ac:dyDescent="0.25">
      <c r="D367" s="9" t="str">
        <f t="shared" si="5"/>
        <v/>
      </c>
    </row>
    <row r="368" spans="4:4" x14ac:dyDescent="0.25">
      <c r="D368" s="9" t="str">
        <f t="shared" si="5"/>
        <v/>
      </c>
    </row>
    <row r="369" spans="4:4" x14ac:dyDescent="0.25">
      <c r="D369" s="9" t="str">
        <f t="shared" si="5"/>
        <v/>
      </c>
    </row>
    <row r="370" spans="4:4" x14ac:dyDescent="0.25">
      <c r="D370" s="9" t="str">
        <f t="shared" si="5"/>
        <v/>
      </c>
    </row>
    <row r="371" spans="4:4" x14ac:dyDescent="0.25">
      <c r="D371" s="9" t="str">
        <f t="shared" si="5"/>
        <v/>
      </c>
    </row>
    <row r="372" spans="4:4" x14ac:dyDescent="0.25">
      <c r="D372" s="9" t="str">
        <f t="shared" si="5"/>
        <v/>
      </c>
    </row>
    <row r="373" spans="4:4" x14ac:dyDescent="0.25">
      <c r="D373" s="9" t="str">
        <f t="shared" si="5"/>
        <v/>
      </c>
    </row>
    <row r="374" spans="4:4" x14ac:dyDescent="0.25">
      <c r="D374" s="9" t="str">
        <f t="shared" si="5"/>
        <v/>
      </c>
    </row>
    <row r="375" spans="4:4" x14ac:dyDescent="0.25">
      <c r="D375" s="9" t="str">
        <f t="shared" si="5"/>
        <v/>
      </c>
    </row>
    <row r="376" spans="4:4" x14ac:dyDescent="0.25">
      <c r="D376" s="9" t="str">
        <f t="shared" si="5"/>
        <v/>
      </c>
    </row>
    <row r="377" spans="4:4" x14ac:dyDescent="0.25">
      <c r="D377" s="9" t="str">
        <f t="shared" si="5"/>
        <v/>
      </c>
    </row>
    <row r="378" spans="4:4" x14ac:dyDescent="0.25">
      <c r="D378" s="9" t="str">
        <f t="shared" si="5"/>
        <v/>
      </c>
    </row>
    <row r="379" spans="4:4" x14ac:dyDescent="0.25">
      <c r="D379" s="9" t="str">
        <f t="shared" si="5"/>
        <v/>
      </c>
    </row>
    <row r="380" spans="4:4" x14ac:dyDescent="0.25">
      <c r="D380" s="9" t="str">
        <f t="shared" si="5"/>
        <v/>
      </c>
    </row>
    <row r="381" spans="4:4" x14ac:dyDescent="0.25">
      <c r="D381" s="9" t="str">
        <f t="shared" si="5"/>
        <v/>
      </c>
    </row>
    <row r="382" spans="4:4" x14ac:dyDescent="0.25">
      <c r="D382" s="9" t="str">
        <f t="shared" si="5"/>
        <v/>
      </c>
    </row>
    <row r="383" spans="4:4" x14ac:dyDescent="0.25">
      <c r="D383" s="9" t="str">
        <f t="shared" si="5"/>
        <v/>
      </c>
    </row>
    <row r="384" spans="4:4" x14ac:dyDescent="0.25">
      <c r="D384" s="9" t="str">
        <f t="shared" si="5"/>
        <v/>
      </c>
    </row>
    <row r="385" spans="4:4" x14ac:dyDescent="0.25">
      <c r="D385" s="9" t="str">
        <f t="shared" si="5"/>
        <v/>
      </c>
    </row>
    <row r="386" spans="4:4" x14ac:dyDescent="0.25">
      <c r="D386" s="9" t="str">
        <f t="shared" ref="D386:D449" si="6">IF(A386="","",INT(A386*24)/24)</f>
        <v/>
      </c>
    </row>
    <row r="387" spans="4:4" x14ac:dyDescent="0.25">
      <c r="D387" s="9" t="str">
        <f t="shared" si="6"/>
        <v/>
      </c>
    </row>
    <row r="388" spans="4:4" x14ac:dyDescent="0.25">
      <c r="D388" s="9" t="str">
        <f t="shared" si="6"/>
        <v/>
      </c>
    </row>
    <row r="389" spans="4:4" x14ac:dyDescent="0.25">
      <c r="D389" s="9" t="str">
        <f t="shared" si="6"/>
        <v/>
      </c>
    </row>
    <row r="390" spans="4:4" x14ac:dyDescent="0.25">
      <c r="D390" s="9" t="str">
        <f t="shared" si="6"/>
        <v/>
      </c>
    </row>
    <row r="391" spans="4:4" x14ac:dyDescent="0.25">
      <c r="D391" s="9" t="str">
        <f t="shared" si="6"/>
        <v/>
      </c>
    </row>
    <row r="392" spans="4:4" x14ac:dyDescent="0.25">
      <c r="D392" s="9" t="str">
        <f t="shared" si="6"/>
        <v/>
      </c>
    </row>
    <row r="393" spans="4:4" x14ac:dyDescent="0.25">
      <c r="D393" s="9" t="str">
        <f t="shared" si="6"/>
        <v/>
      </c>
    </row>
    <row r="394" spans="4:4" x14ac:dyDescent="0.25">
      <c r="D394" s="9" t="str">
        <f t="shared" si="6"/>
        <v/>
      </c>
    </row>
    <row r="395" spans="4:4" x14ac:dyDescent="0.25">
      <c r="D395" s="9" t="str">
        <f t="shared" si="6"/>
        <v/>
      </c>
    </row>
    <row r="396" spans="4:4" x14ac:dyDescent="0.25">
      <c r="D396" s="9" t="str">
        <f t="shared" si="6"/>
        <v/>
      </c>
    </row>
    <row r="397" spans="4:4" x14ac:dyDescent="0.25">
      <c r="D397" s="9" t="str">
        <f t="shared" si="6"/>
        <v/>
      </c>
    </row>
    <row r="398" spans="4:4" x14ac:dyDescent="0.25">
      <c r="D398" s="9" t="str">
        <f t="shared" si="6"/>
        <v/>
      </c>
    </row>
    <row r="399" spans="4:4" x14ac:dyDescent="0.25">
      <c r="D399" s="9" t="str">
        <f t="shared" si="6"/>
        <v/>
      </c>
    </row>
    <row r="400" spans="4:4" x14ac:dyDescent="0.25">
      <c r="D400" s="9" t="str">
        <f t="shared" si="6"/>
        <v/>
      </c>
    </row>
    <row r="401" spans="4:4" x14ac:dyDescent="0.25">
      <c r="D401" s="9" t="str">
        <f t="shared" si="6"/>
        <v/>
      </c>
    </row>
    <row r="402" spans="4:4" x14ac:dyDescent="0.25">
      <c r="D402" s="9" t="str">
        <f t="shared" si="6"/>
        <v/>
      </c>
    </row>
    <row r="403" spans="4:4" x14ac:dyDescent="0.25">
      <c r="D403" s="9" t="str">
        <f t="shared" si="6"/>
        <v/>
      </c>
    </row>
    <row r="404" spans="4:4" x14ac:dyDescent="0.25">
      <c r="D404" s="9" t="str">
        <f t="shared" si="6"/>
        <v/>
      </c>
    </row>
    <row r="405" spans="4:4" x14ac:dyDescent="0.25">
      <c r="D405" s="9" t="str">
        <f t="shared" si="6"/>
        <v/>
      </c>
    </row>
    <row r="406" spans="4:4" x14ac:dyDescent="0.25">
      <c r="D406" s="9" t="str">
        <f t="shared" si="6"/>
        <v/>
      </c>
    </row>
    <row r="407" spans="4:4" x14ac:dyDescent="0.25">
      <c r="D407" s="9" t="str">
        <f t="shared" si="6"/>
        <v/>
      </c>
    </row>
    <row r="408" spans="4:4" x14ac:dyDescent="0.25">
      <c r="D408" s="9" t="str">
        <f t="shared" si="6"/>
        <v/>
      </c>
    </row>
    <row r="409" spans="4:4" x14ac:dyDescent="0.25">
      <c r="D409" s="9" t="str">
        <f t="shared" si="6"/>
        <v/>
      </c>
    </row>
    <row r="410" spans="4:4" x14ac:dyDescent="0.25">
      <c r="D410" s="9" t="str">
        <f t="shared" si="6"/>
        <v/>
      </c>
    </row>
    <row r="411" spans="4:4" x14ac:dyDescent="0.25">
      <c r="D411" s="9" t="str">
        <f t="shared" si="6"/>
        <v/>
      </c>
    </row>
    <row r="412" spans="4:4" x14ac:dyDescent="0.25">
      <c r="D412" s="9" t="str">
        <f t="shared" si="6"/>
        <v/>
      </c>
    </row>
    <row r="413" spans="4:4" x14ac:dyDescent="0.25">
      <c r="D413" s="9" t="str">
        <f t="shared" si="6"/>
        <v/>
      </c>
    </row>
    <row r="414" spans="4:4" x14ac:dyDescent="0.25">
      <c r="D414" s="9" t="str">
        <f t="shared" si="6"/>
        <v/>
      </c>
    </row>
    <row r="415" spans="4:4" x14ac:dyDescent="0.25">
      <c r="D415" s="9" t="str">
        <f t="shared" si="6"/>
        <v/>
      </c>
    </row>
    <row r="416" spans="4:4" x14ac:dyDescent="0.25">
      <c r="D416" s="9" t="str">
        <f t="shared" si="6"/>
        <v/>
      </c>
    </row>
    <row r="417" spans="4:4" x14ac:dyDescent="0.25">
      <c r="D417" s="9" t="str">
        <f t="shared" si="6"/>
        <v/>
      </c>
    </row>
    <row r="418" spans="4:4" x14ac:dyDescent="0.25">
      <c r="D418" s="9" t="str">
        <f t="shared" si="6"/>
        <v/>
      </c>
    </row>
    <row r="419" spans="4:4" x14ac:dyDescent="0.25">
      <c r="D419" s="9" t="str">
        <f t="shared" si="6"/>
        <v/>
      </c>
    </row>
    <row r="420" spans="4:4" x14ac:dyDescent="0.25">
      <c r="D420" s="9" t="str">
        <f t="shared" si="6"/>
        <v/>
      </c>
    </row>
    <row r="421" spans="4:4" x14ac:dyDescent="0.25">
      <c r="D421" s="9" t="str">
        <f t="shared" si="6"/>
        <v/>
      </c>
    </row>
    <row r="422" spans="4:4" x14ac:dyDescent="0.25">
      <c r="D422" s="9" t="str">
        <f t="shared" si="6"/>
        <v/>
      </c>
    </row>
    <row r="423" spans="4:4" x14ac:dyDescent="0.25">
      <c r="D423" s="9" t="str">
        <f t="shared" si="6"/>
        <v/>
      </c>
    </row>
    <row r="424" spans="4:4" x14ac:dyDescent="0.25">
      <c r="D424" s="9" t="str">
        <f t="shared" si="6"/>
        <v/>
      </c>
    </row>
    <row r="425" spans="4:4" x14ac:dyDescent="0.25">
      <c r="D425" s="9" t="str">
        <f t="shared" si="6"/>
        <v/>
      </c>
    </row>
    <row r="426" spans="4:4" x14ac:dyDescent="0.25">
      <c r="D426" s="9" t="str">
        <f t="shared" si="6"/>
        <v/>
      </c>
    </row>
    <row r="427" spans="4:4" x14ac:dyDescent="0.25">
      <c r="D427" s="9" t="str">
        <f t="shared" si="6"/>
        <v/>
      </c>
    </row>
    <row r="428" spans="4:4" x14ac:dyDescent="0.25">
      <c r="D428" s="9" t="str">
        <f t="shared" si="6"/>
        <v/>
      </c>
    </row>
    <row r="429" spans="4:4" x14ac:dyDescent="0.25">
      <c r="D429" s="9" t="str">
        <f t="shared" si="6"/>
        <v/>
      </c>
    </row>
    <row r="430" spans="4:4" x14ac:dyDescent="0.25">
      <c r="D430" s="9" t="str">
        <f t="shared" si="6"/>
        <v/>
      </c>
    </row>
    <row r="431" spans="4:4" x14ac:dyDescent="0.25">
      <c r="D431" s="9" t="str">
        <f t="shared" si="6"/>
        <v/>
      </c>
    </row>
    <row r="432" spans="4:4" x14ac:dyDescent="0.25">
      <c r="D432" s="9" t="str">
        <f t="shared" si="6"/>
        <v/>
      </c>
    </row>
    <row r="433" spans="4:4" x14ac:dyDescent="0.25">
      <c r="D433" s="9" t="str">
        <f t="shared" si="6"/>
        <v/>
      </c>
    </row>
    <row r="434" spans="4:4" x14ac:dyDescent="0.25">
      <c r="D434" s="9" t="str">
        <f t="shared" si="6"/>
        <v/>
      </c>
    </row>
    <row r="435" spans="4:4" x14ac:dyDescent="0.25">
      <c r="D435" s="9" t="str">
        <f t="shared" si="6"/>
        <v/>
      </c>
    </row>
    <row r="436" spans="4:4" x14ac:dyDescent="0.25">
      <c r="D436" s="9" t="str">
        <f t="shared" si="6"/>
        <v/>
      </c>
    </row>
    <row r="437" spans="4:4" x14ac:dyDescent="0.25">
      <c r="D437" s="9" t="str">
        <f t="shared" si="6"/>
        <v/>
      </c>
    </row>
    <row r="438" spans="4:4" x14ac:dyDescent="0.25">
      <c r="D438" s="9" t="str">
        <f t="shared" si="6"/>
        <v/>
      </c>
    </row>
    <row r="439" spans="4:4" x14ac:dyDescent="0.25">
      <c r="D439" s="9" t="str">
        <f t="shared" si="6"/>
        <v/>
      </c>
    </row>
    <row r="440" spans="4:4" x14ac:dyDescent="0.25">
      <c r="D440" s="9" t="str">
        <f t="shared" si="6"/>
        <v/>
      </c>
    </row>
    <row r="441" spans="4:4" x14ac:dyDescent="0.25">
      <c r="D441" s="9" t="str">
        <f t="shared" si="6"/>
        <v/>
      </c>
    </row>
    <row r="442" spans="4:4" x14ac:dyDescent="0.25">
      <c r="D442" s="9" t="str">
        <f t="shared" si="6"/>
        <v/>
      </c>
    </row>
    <row r="443" spans="4:4" x14ac:dyDescent="0.25">
      <c r="D443" s="9" t="str">
        <f t="shared" si="6"/>
        <v/>
      </c>
    </row>
    <row r="444" spans="4:4" x14ac:dyDescent="0.25">
      <c r="D444" s="9" t="str">
        <f t="shared" si="6"/>
        <v/>
      </c>
    </row>
    <row r="445" spans="4:4" x14ac:dyDescent="0.25">
      <c r="D445" s="9" t="str">
        <f t="shared" si="6"/>
        <v/>
      </c>
    </row>
    <row r="446" spans="4:4" x14ac:dyDescent="0.25">
      <c r="D446" s="9" t="str">
        <f t="shared" si="6"/>
        <v/>
      </c>
    </row>
    <row r="447" spans="4:4" x14ac:dyDescent="0.25">
      <c r="D447" s="9" t="str">
        <f t="shared" si="6"/>
        <v/>
      </c>
    </row>
    <row r="448" spans="4:4" x14ac:dyDescent="0.25">
      <c r="D448" s="9" t="str">
        <f t="shared" si="6"/>
        <v/>
      </c>
    </row>
    <row r="449" spans="4:4" x14ac:dyDescent="0.25">
      <c r="D449" s="9" t="str">
        <f t="shared" si="6"/>
        <v/>
      </c>
    </row>
    <row r="450" spans="4:4" x14ac:dyDescent="0.25">
      <c r="D450" s="9" t="str">
        <f t="shared" ref="D450:D501" si="7">IF(A450="","",INT(A450*24)/24)</f>
        <v/>
      </c>
    </row>
    <row r="451" spans="4:4" x14ac:dyDescent="0.25">
      <c r="D451" s="9" t="str">
        <f t="shared" si="7"/>
        <v/>
      </c>
    </row>
    <row r="452" spans="4:4" x14ac:dyDescent="0.25">
      <c r="D452" s="9" t="str">
        <f t="shared" si="7"/>
        <v/>
      </c>
    </row>
    <row r="453" spans="4:4" x14ac:dyDescent="0.25">
      <c r="D453" s="9" t="str">
        <f t="shared" si="7"/>
        <v/>
      </c>
    </row>
    <row r="454" spans="4:4" x14ac:dyDescent="0.25">
      <c r="D454" s="9" t="str">
        <f t="shared" si="7"/>
        <v/>
      </c>
    </row>
    <row r="455" spans="4:4" x14ac:dyDescent="0.25">
      <c r="D455" s="9" t="str">
        <f t="shared" si="7"/>
        <v/>
      </c>
    </row>
    <row r="456" spans="4:4" x14ac:dyDescent="0.25">
      <c r="D456" s="9" t="str">
        <f t="shared" si="7"/>
        <v/>
      </c>
    </row>
    <row r="457" spans="4:4" x14ac:dyDescent="0.25">
      <c r="D457" s="9" t="str">
        <f t="shared" si="7"/>
        <v/>
      </c>
    </row>
    <row r="458" spans="4:4" x14ac:dyDescent="0.25">
      <c r="D458" s="9" t="str">
        <f t="shared" si="7"/>
        <v/>
      </c>
    </row>
    <row r="459" spans="4:4" x14ac:dyDescent="0.25">
      <c r="D459" s="9" t="str">
        <f t="shared" si="7"/>
        <v/>
      </c>
    </row>
    <row r="460" spans="4:4" x14ac:dyDescent="0.25">
      <c r="D460" s="9" t="str">
        <f t="shared" si="7"/>
        <v/>
      </c>
    </row>
    <row r="461" spans="4:4" x14ac:dyDescent="0.25">
      <c r="D461" s="9" t="str">
        <f t="shared" si="7"/>
        <v/>
      </c>
    </row>
    <row r="462" spans="4:4" x14ac:dyDescent="0.25">
      <c r="D462" s="9" t="str">
        <f t="shared" si="7"/>
        <v/>
      </c>
    </row>
    <row r="463" spans="4:4" x14ac:dyDescent="0.25">
      <c r="D463" s="9" t="str">
        <f t="shared" si="7"/>
        <v/>
      </c>
    </row>
    <row r="464" spans="4:4" x14ac:dyDescent="0.25">
      <c r="D464" s="9" t="str">
        <f t="shared" si="7"/>
        <v/>
      </c>
    </row>
    <row r="465" spans="4:4" x14ac:dyDescent="0.25">
      <c r="D465" s="9" t="str">
        <f t="shared" si="7"/>
        <v/>
      </c>
    </row>
    <row r="466" spans="4:4" x14ac:dyDescent="0.25">
      <c r="D466" s="9" t="str">
        <f t="shared" si="7"/>
        <v/>
      </c>
    </row>
    <row r="467" spans="4:4" x14ac:dyDescent="0.25">
      <c r="D467" s="9" t="str">
        <f t="shared" si="7"/>
        <v/>
      </c>
    </row>
    <row r="468" spans="4:4" x14ac:dyDescent="0.25">
      <c r="D468" s="9" t="str">
        <f t="shared" si="7"/>
        <v/>
      </c>
    </row>
    <row r="469" spans="4:4" x14ac:dyDescent="0.25">
      <c r="D469" s="9" t="str">
        <f t="shared" si="7"/>
        <v/>
      </c>
    </row>
    <row r="470" spans="4:4" x14ac:dyDescent="0.25">
      <c r="D470" s="9" t="str">
        <f t="shared" si="7"/>
        <v/>
      </c>
    </row>
    <row r="471" spans="4:4" x14ac:dyDescent="0.25">
      <c r="D471" s="9" t="str">
        <f t="shared" si="7"/>
        <v/>
      </c>
    </row>
    <row r="472" spans="4:4" x14ac:dyDescent="0.25">
      <c r="D472" s="9" t="str">
        <f t="shared" si="7"/>
        <v/>
      </c>
    </row>
    <row r="473" spans="4:4" x14ac:dyDescent="0.25">
      <c r="D473" s="9" t="str">
        <f t="shared" si="7"/>
        <v/>
      </c>
    </row>
    <row r="474" spans="4:4" x14ac:dyDescent="0.25">
      <c r="D474" s="9" t="str">
        <f t="shared" si="7"/>
        <v/>
      </c>
    </row>
    <row r="475" spans="4:4" x14ac:dyDescent="0.25">
      <c r="D475" s="9" t="str">
        <f t="shared" si="7"/>
        <v/>
      </c>
    </row>
    <row r="476" spans="4:4" x14ac:dyDescent="0.25">
      <c r="D476" s="9" t="str">
        <f t="shared" si="7"/>
        <v/>
      </c>
    </row>
    <row r="477" spans="4:4" x14ac:dyDescent="0.25">
      <c r="D477" s="9" t="str">
        <f t="shared" si="7"/>
        <v/>
      </c>
    </row>
    <row r="478" spans="4:4" x14ac:dyDescent="0.25">
      <c r="D478" s="9" t="str">
        <f t="shared" si="7"/>
        <v/>
      </c>
    </row>
    <row r="479" spans="4:4" x14ac:dyDescent="0.25">
      <c r="D479" s="9" t="str">
        <f t="shared" si="7"/>
        <v/>
      </c>
    </row>
    <row r="480" spans="4:4" x14ac:dyDescent="0.25">
      <c r="D480" s="9" t="str">
        <f t="shared" si="7"/>
        <v/>
      </c>
    </row>
    <row r="481" spans="4:4" x14ac:dyDescent="0.25">
      <c r="D481" s="9" t="str">
        <f t="shared" si="7"/>
        <v/>
      </c>
    </row>
    <row r="482" spans="4:4" x14ac:dyDescent="0.25">
      <c r="D482" s="9" t="str">
        <f t="shared" si="7"/>
        <v/>
      </c>
    </row>
    <row r="483" spans="4:4" x14ac:dyDescent="0.25">
      <c r="D483" s="9" t="str">
        <f t="shared" si="7"/>
        <v/>
      </c>
    </row>
    <row r="484" spans="4:4" x14ac:dyDescent="0.25">
      <c r="D484" s="9" t="str">
        <f t="shared" si="7"/>
        <v/>
      </c>
    </row>
    <row r="485" spans="4:4" x14ac:dyDescent="0.25">
      <c r="D485" s="9" t="str">
        <f t="shared" si="7"/>
        <v/>
      </c>
    </row>
    <row r="486" spans="4:4" x14ac:dyDescent="0.25">
      <c r="D486" s="9" t="str">
        <f t="shared" si="7"/>
        <v/>
      </c>
    </row>
    <row r="487" spans="4:4" x14ac:dyDescent="0.25">
      <c r="D487" s="9" t="str">
        <f t="shared" si="7"/>
        <v/>
      </c>
    </row>
    <row r="488" spans="4:4" x14ac:dyDescent="0.25">
      <c r="D488" s="9" t="str">
        <f t="shared" si="7"/>
        <v/>
      </c>
    </row>
    <row r="489" spans="4:4" x14ac:dyDescent="0.25">
      <c r="D489" s="9" t="str">
        <f t="shared" si="7"/>
        <v/>
      </c>
    </row>
    <row r="490" spans="4:4" x14ac:dyDescent="0.25">
      <c r="D490" s="9" t="str">
        <f t="shared" si="7"/>
        <v/>
      </c>
    </row>
    <row r="491" spans="4:4" x14ac:dyDescent="0.25">
      <c r="D491" s="9" t="str">
        <f t="shared" si="7"/>
        <v/>
      </c>
    </row>
    <row r="492" spans="4:4" x14ac:dyDescent="0.25">
      <c r="D492" s="9" t="str">
        <f t="shared" si="7"/>
        <v/>
      </c>
    </row>
    <row r="493" spans="4:4" x14ac:dyDescent="0.25">
      <c r="D493" s="9" t="str">
        <f t="shared" si="7"/>
        <v/>
      </c>
    </row>
    <row r="494" spans="4:4" x14ac:dyDescent="0.25">
      <c r="D494" s="9" t="str">
        <f t="shared" si="7"/>
        <v/>
      </c>
    </row>
    <row r="495" spans="4:4" x14ac:dyDescent="0.25">
      <c r="D495" s="9" t="str">
        <f t="shared" si="7"/>
        <v/>
      </c>
    </row>
    <row r="496" spans="4:4" x14ac:dyDescent="0.25">
      <c r="D496" s="9" t="str">
        <f t="shared" si="7"/>
        <v/>
      </c>
    </row>
    <row r="497" spans="4:4" x14ac:dyDescent="0.25">
      <c r="D497" s="9" t="str">
        <f t="shared" si="7"/>
        <v/>
      </c>
    </row>
    <row r="498" spans="4:4" x14ac:dyDescent="0.25">
      <c r="D498" s="9" t="str">
        <f t="shared" si="7"/>
        <v/>
      </c>
    </row>
    <row r="499" spans="4:4" x14ac:dyDescent="0.25">
      <c r="D499" s="9" t="str">
        <f t="shared" si="7"/>
        <v/>
      </c>
    </row>
    <row r="500" spans="4:4" x14ac:dyDescent="0.25">
      <c r="D500" s="9" t="str">
        <f t="shared" si="7"/>
        <v/>
      </c>
    </row>
    <row r="501" spans="4:4" x14ac:dyDescent="0.25">
      <c r="D501" s="9" t="str">
        <f t="shared" si="7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7"/>
  <sheetViews>
    <sheetView workbookViewId="0"/>
  </sheetViews>
  <sheetFormatPr defaultRowHeight="15" x14ac:dyDescent="0.25"/>
  <cols>
    <col min="1" max="1" width="18" customWidth="1"/>
    <col min="2" max="2" width="28.28515625" customWidth="1"/>
    <col min="3" max="3" width="17.140625" customWidth="1"/>
    <col min="4" max="4" width="24.42578125" customWidth="1"/>
    <col min="5" max="5" width="23.5703125" customWidth="1"/>
    <col min="6" max="6" width="10" customWidth="1"/>
    <col min="7" max="7" width="14" customWidth="1"/>
    <col min="9" max="9" width="70" customWidth="1"/>
  </cols>
  <sheetData>
    <row r="1" spans="1:9" ht="20.100000000000001" customHeight="1" x14ac:dyDescent="0.25">
      <c r="A1" s="6" t="s">
        <v>15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I1" s="10" t="s">
        <v>23</v>
      </c>
    </row>
    <row r="2" spans="1:9" x14ac:dyDescent="0.25">
      <c r="A2" s="9">
        <f>Config!$B$8</f>
        <v>46017</v>
      </c>
      <c r="B2" s="9">
        <f>A2+Config!$B$6</f>
        <v>46017.041666666664</v>
      </c>
      <c r="C2" s="11">
        <f>COUNTIF(RawData!$D$2:$D$501,A2)</f>
        <v>12</v>
      </c>
      <c r="D2" s="8">
        <f>IF(C2=0,"",AVERAGEIF(RawData!$D$2:$D$501,A2,RawData!$B$2:$B$501))</f>
        <v>437.16666666666669</v>
      </c>
      <c r="E2" s="8" t="e">
        <f ca="1">IF(C2=0,"",_xludf.MINIFS(RawData!$C$2:$C$501,RawData!$D$2:$D$501,A2))</f>
        <v>#NAME?</v>
      </c>
      <c r="F2" s="12">
        <f>IF(C2=0,"",COUNTIFS(RawData!$D$2:$D$501,A2,RawData!$C$2:$C$501,"&lt;0")/C2)</f>
        <v>0.58333333333333337</v>
      </c>
      <c r="G2" s="11" t="e">
        <f t="shared" ref="G2:G33" ca="1" si="0">IF(C2=0,"",MIN(2,IF(E2&lt;-10,2,IF(E2&lt;-5,1,0))+IF(D2&gt;600,1,0)))</f>
        <v>#NAME?</v>
      </c>
      <c r="I2" s="13" t="s">
        <v>24</v>
      </c>
    </row>
    <row r="3" spans="1:9" x14ac:dyDescent="0.25">
      <c r="A3" s="9">
        <f>A2+Config!$B$6</f>
        <v>46017.041666666664</v>
      </c>
      <c r="B3" s="9">
        <f>A3+Config!$B$6</f>
        <v>46017.083333333328</v>
      </c>
      <c r="C3" s="11">
        <f>COUNTIF(RawData!$D$2:$D$501,A3)</f>
        <v>12</v>
      </c>
      <c r="D3" s="8">
        <f>IF(C3=0,"",AVERAGEIF(RawData!$D$2:$D$501,A3,RawData!$B$2:$B$501))</f>
        <v>451.01666666666659</v>
      </c>
      <c r="E3" s="8" t="e">
        <f ca="1">IF(C3=0,"",_xludf.MINIFS(RawData!$C$2:$C$501,RawData!$D$2:$D$501,A3))</f>
        <v>#NAME?</v>
      </c>
      <c r="F3" s="12">
        <f>IF(C3=0,"",COUNTIFS(RawData!$D$2:$D$501,A3,RawData!$C$2:$C$501,"&lt;0")/C3)</f>
        <v>0.5</v>
      </c>
      <c r="G3" s="11" t="e">
        <f t="shared" ca="1" si="0"/>
        <v>#NAME?</v>
      </c>
      <c r="I3" s="13" t="s">
        <v>25</v>
      </c>
    </row>
    <row r="4" spans="1:9" x14ac:dyDescent="0.25">
      <c r="A4" s="9">
        <f>A3+Config!$B$6</f>
        <v>46017.083333333328</v>
      </c>
      <c r="B4" s="9">
        <f>A4+Config!$B$6</f>
        <v>46017.124999999993</v>
      </c>
      <c r="C4" s="11">
        <f>COUNTIF(RawData!$D$2:$D$501,A4)</f>
        <v>12</v>
      </c>
      <c r="D4" s="8">
        <f>IF(C4=0,"",AVERAGEIF(RawData!$D$2:$D$501,A4,RawData!$B$2:$B$501))</f>
        <v>476.65833333333325</v>
      </c>
      <c r="E4" s="8" t="e">
        <f ca="1">IF(C4=0,"",_xludf.MINIFS(RawData!$C$2:$C$501,RawData!$D$2:$D$501,A4))</f>
        <v>#NAME?</v>
      </c>
      <c r="F4" s="12">
        <f>IF(C4=0,"",COUNTIFS(RawData!$D$2:$D$501,A4,RawData!$C$2:$C$501,"&lt;0")/C4)</f>
        <v>0</v>
      </c>
      <c r="G4" s="11" t="e">
        <f t="shared" ca="1" si="0"/>
        <v>#NAME?</v>
      </c>
      <c r="I4" s="13" t="s">
        <v>26</v>
      </c>
    </row>
    <row r="5" spans="1:9" x14ac:dyDescent="0.25">
      <c r="A5" s="9">
        <f>A4+Config!$B$6</f>
        <v>46017.124999999993</v>
      </c>
      <c r="B5" s="9">
        <f>A5+Config!$B$6</f>
        <v>46017.166666666657</v>
      </c>
      <c r="C5" s="11">
        <f>COUNTIF(RawData!$D$2:$D$501,A5)</f>
        <v>12</v>
      </c>
      <c r="D5" s="8">
        <f>IF(C5=0,"",AVERAGEIF(RawData!$D$2:$D$501,A5,RawData!$B$2:$B$501))</f>
        <v>507.82499999999999</v>
      </c>
      <c r="E5" s="8" t="e">
        <f ca="1">IF(C5=0,"",_xludf.MINIFS(RawData!$C$2:$C$501,RawData!$D$2:$D$501,A5))</f>
        <v>#NAME?</v>
      </c>
      <c r="F5" s="12">
        <f>IF(C5=0,"",COUNTIFS(RawData!$D$2:$D$501,A5,RawData!$C$2:$C$501,"&lt;0")/C5)</f>
        <v>8.3333333333333329E-2</v>
      </c>
      <c r="G5" s="11" t="e">
        <f t="shared" ca="1" si="0"/>
        <v>#NAME?</v>
      </c>
      <c r="I5" s="13" t="s">
        <v>27</v>
      </c>
    </row>
    <row r="6" spans="1:9" x14ac:dyDescent="0.25">
      <c r="A6" s="9">
        <f>A5+Config!$B$6</f>
        <v>46017.166666666657</v>
      </c>
      <c r="B6" s="9">
        <f>A6+Config!$B$6</f>
        <v>46017.208333333321</v>
      </c>
      <c r="C6" s="11">
        <f>COUNTIF(RawData!$D$2:$D$501,A6)</f>
        <v>12</v>
      </c>
      <c r="D6" s="8">
        <f>IF(C6=0,"",AVERAGEIF(RawData!$D$2:$D$501,A6,RawData!$B$2:$B$501))</f>
        <v>519.29166666666663</v>
      </c>
      <c r="E6" s="8" t="e">
        <f ca="1">IF(C6=0,"",_xludf.MINIFS(RawData!$C$2:$C$501,RawData!$D$2:$D$501,A6))</f>
        <v>#NAME?</v>
      </c>
      <c r="F6" s="12">
        <f>IF(C6=0,"",COUNTIFS(RawData!$D$2:$D$501,A6,RawData!$C$2:$C$501,"&lt;0")/C6)</f>
        <v>0</v>
      </c>
      <c r="G6" s="11" t="e">
        <f t="shared" ca="1" si="0"/>
        <v>#NAME?</v>
      </c>
    </row>
    <row r="7" spans="1:9" x14ac:dyDescent="0.25">
      <c r="A7" s="9">
        <f>A6+Config!$B$6</f>
        <v>46017.208333333321</v>
      </c>
      <c r="B7" s="9">
        <f>A7+Config!$B$6</f>
        <v>46017.249999999985</v>
      </c>
      <c r="C7" s="11">
        <f>COUNTIF(RawData!$D$2:$D$501,A7)</f>
        <v>12</v>
      </c>
      <c r="D7" s="8">
        <f>IF(C7=0,"",AVERAGEIF(RawData!$D$2:$D$501,A7,RawData!$B$2:$B$501))</f>
        <v>518.29166666666663</v>
      </c>
      <c r="E7" s="8" t="e">
        <f ca="1">IF(C7=0,"",_xludf.MINIFS(RawData!$C$2:$C$501,RawData!$D$2:$D$501,A7))</f>
        <v>#NAME?</v>
      </c>
      <c r="F7" s="12">
        <f>IF(C7=0,"",COUNTIFS(RawData!$D$2:$D$501,A7,RawData!$C$2:$C$501,"&lt;0")/C7)</f>
        <v>0</v>
      </c>
      <c r="G7" s="11" t="e">
        <f t="shared" ca="1" si="0"/>
        <v>#NAME?</v>
      </c>
    </row>
    <row r="8" spans="1:9" x14ac:dyDescent="0.25">
      <c r="A8" s="9">
        <f>A7+Config!$B$6</f>
        <v>46017.249999999985</v>
      </c>
      <c r="B8" s="9">
        <f>A8+Config!$B$6</f>
        <v>46017.29166666665</v>
      </c>
      <c r="C8" s="11">
        <f>COUNTIF(RawData!$D$2:$D$501,A8)</f>
        <v>12</v>
      </c>
      <c r="D8" s="8">
        <f>IF(C8=0,"",AVERAGEIF(RawData!$D$2:$D$501,A8,RawData!$B$2:$B$501))</f>
        <v>532.14166666666665</v>
      </c>
      <c r="E8" s="8" t="e">
        <f ca="1">IF(C8=0,"",_xludf.MINIFS(RawData!$C$2:$C$501,RawData!$D$2:$D$501,A8))</f>
        <v>#NAME?</v>
      </c>
      <c r="F8" s="12">
        <f>IF(C8=0,"",COUNTIFS(RawData!$D$2:$D$501,A8,RawData!$C$2:$C$501,"&lt;0")/C8)</f>
        <v>0</v>
      </c>
      <c r="G8" s="11" t="e">
        <f t="shared" ca="1" si="0"/>
        <v>#NAME?</v>
      </c>
    </row>
    <row r="9" spans="1:9" x14ac:dyDescent="0.25">
      <c r="A9" s="9">
        <f>A8+Config!$B$6</f>
        <v>46017.29166666665</v>
      </c>
      <c r="B9" s="9">
        <f>A9+Config!$B$6</f>
        <v>46017.333333333314</v>
      </c>
      <c r="C9" s="11">
        <f>COUNTIF(RawData!$D$2:$D$501,A9)</f>
        <v>0</v>
      </c>
      <c r="D9" s="8" t="str">
        <f>IF(C9=0,"",AVERAGEIF(RawData!$D$2:$D$501,A9,RawData!$B$2:$B$501))</f>
        <v/>
      </c>
      <c r="E9" s="8" t="str">
        <f>IF(C9=0,"",_xludf.MINIFS(RawData!$C$2:$C$501,RawData!$D$2:$D$501,A9))</f>
        <v/>
      </c>
      <c r="F9" s="12" t="str">
        <f>IF(C9=0,"",COUNTIFS(RawData!$D$2:$D$501,A9,RawData!$C$2:$C$501,"&lt;0")/C9)</f>
        <v/>
      </c>
      <c r="G9" s="11" t="str">
        <f t="shared" si="0"/>
        <v/>
      </c>
    </row>
    <row r="10" spans="1:9" x14ac:dyDescent="0.25">
      <c r="A10" s="9">
        <f>A9+Config!$B$6</f>
        <v>46017.333333333314</v>
      </c>
      <c r="B10" s="9">
        <f>A10+Config!$B$6</f>
        <v>46017.374999999978</v>
      </c>
      <c r="C10" s="11">
        <f>COUNTIF(RawData!$D$2:$D$501,A10)</f>
        <v>12</v>
      </c>
      <c r="D10" s="8">
        <f>IF(C10=0,"",AVERAGEIF(RawData!$D$2:$D$501,A10,RawData!$B$2:$B$501))</f>
        <v>590.28333333333342</v>
      </c>
      <c r="E10" s="8" t="e">
        <f ca="1">IF(C10=0,"",_xludf.MINIFS(RawData!$C$2:$C$501,RawData!$D$2:$D$501,A10))</f>
        <v>#NAME?</v>
      </c>
      <c r="F10" s="12">
        <f>IF(C10=0,"",COUNTIFS(RawData!$D$2:$D$501,A10,RawData!$C$2:$C$501,"&lt;0")/C10)</f>
        <v>0</v>
      </c>
      <c r="G10" s="11" t="e">
        <f t="shared" ca="1" si="0"/>
        <v>#NAME?</v>
      </c>
    </row>
    <row r="11" spans="1:9" x14ac:dyDescent="0.25">
      <c r="A11" s="9">
        <f>A10+Config!$B$6</f>
        <v>46017.374999999978</v>
      </c>
      <c r="B11" s="9">
        <f>A11+Config!$B$6</f>
        <v>46017.416666666642</v>
      </c>
      <c r="C11" s="11">
        <f>COUNTIF(RawData!$D$2:$D$501,A11)</f>
        <v>12</v>
      </c>
      <c r="D11" s="8">
        <f>IF(C11=0,"",AVERAGEIF(RawData!$D$2:$D$501,A11,RawData!$B$2:$B$501))</f>
        <v>605.30833333333339</v>
      </c>
      <c r="E11" s="8" t="e">
        <f ca="1">IF(C11=0,"",_xludf.MINIFS(RawData!$C$2:$C$501,RawData!$D$2:$D$501,A11))</f>
        <v>#NAME?</v>
      </c>
      <c r="F11" s="12">
        <f>IF(C11=0,"",COUNTIFS(RawData!$D$2:$D$501,A11,RawData!$C$2:$C$501,"&lt;0")/C11)</f>
        <v>0</v>
      </c>
      <c r="G11" s="11" t="e">
        <f t="shared" ca="1" si="0"/>
        <v>#NAME?</v>
      </c>
    </row>
    <row r="12" spans="1:9" x14ac:dyDescent="0.25">
      <c r="A12" s="9">
        <f>A11+Config!$B$6</f>
        <v>46017.416666666642</v>
      </c>
      <c r="B12" s="9">
        <f>A12+Config!$B$6</f>
        <v>46017.458333333307</v>
      </c>
      <c r="C12" s="11">
        <f>COUNTIF(RawData!$D$2:$D$501,A12)</f>
        <v>0</v>
      </c>
      <c r="D12" s="8" t="str">
        <f>IF(C12=0,"",AVERAGEIF(RawData!$D$2:$D$501,A12,RawData!$B$2:$B$501))</f>
        <v/>
      </c>
      <c r="E12" s="8" t="str">
        <f>IF(C12=0,"",_xludf.MINIFS(RawData!$C$2:$C$501,RawData!$D$2:$D$501,A12))</f>
        <v/>
      </c>
      <c r="F12" s="12" t="str">
        <f>IF(C12=0,"",COUNTIFS(RawData!$D$2:$D$501,A12,RawData!$C$2:$C$501,"&lt;0")/C12)</f>
        <v/>
      </c>
      <c r="G12" s="11" t="str">
        <f t="shared" si="0"/>
        <v/>
      </c>
    </row>
    <row r="13" spans="1:9" x14ac:dyDescent="0.25">
      <c r="A13" s="9">
        <f>A12+Config!$B$6</f>
        <v>46017.458333333307</v>
      </c>
      <c r="B13" s="9">
        <f>A13+Config!$B$6</f>
        <v>46017.499999999971</v>
      </c>
      <c r="C13" s="11">
        <f>COUNTIF(RawData!$D$2:$D$501,A13)</f>
        <v>12</v>
      </c>
      <c r="D13" s="8">
        <f>IF(C13=0,"",AVERAGEIF(RawData!$D$2:$D$501,A13,RawData!$B$2:$B$501))</f>
        <v>617.75833333333333</v>
      </c>
      <c r="E13" s="8" t="e">
        <f ca="1">IF(C13=0,"",_xludf.MINIFS(RawData!$C$2:$C$501,RawData!$D$2:$D$501,A13))</f>
        <v>#NAME?</v>
      </c>
      <c r="F13" s="12">
        <f>IF(C13=0,"",COUNTIFS(RawData!$D$2:$D$501,A13,RawData!$C$2:$C$501,"&lt;0")/C13)</f>
        <v>0</v>
      </c>
      <c r="G13" s="11" t="e">
        <f t="shared" ca="1" si="0"/>
        <v>#NAME?</v>
      </c>
    </row>
    <row r="14" spans="1:9" x14ac:dyDescent="0.25">
      <c r="A14" s="9">
        <f>A13+Config!$B$6</f>
        <v>46017.499999999971</v>
      </c>
      <c r="B14" s="9">
        <f>A14+Config!$B$6</f>
        <v>46017.541666666635</v>
      </c>
      <c r="C14" s="11">
        <f>COUNTIF(RawData!$D$2:$D$501,A14)</f>
        <v>1</v>
      </c>
      <c r="D14" s="8">
        <f>IF(C14=0,"",AVERAGEIF(RawData!$D$2:$D$501,A14,RawData!$B$2:$B$501))</f>
        <v>622.5</v>
      </c>
      <c r="E14" s="8" t="e">
        <f ca="1">IF(C14=0,"",_xludf.MINIFS(RawData!$C$2:$C$501,RawData!$D$2:$D$501,A14))</f>
        <v>#NAME?</v>
      </c>
      <c r="F14" s="12">
        <f>IF(C14=0,"",COUNTIFS(RawData!$D$2:$D$501,A14,RawData!$C$2:$C$501,"&lt;0")/C14)</f>
        <v>0</v>
      </c>
      <c r="G14" s="11" t="e">
        <f t="shared" ca="1" si="0"/>
        <v>#NAME?</v>
      </c>
    </row>
    <row r="15" spans="1:9" x14ac:dyDescent="0.25">
      <c r="A15" s="9">
        <f>A14+Config!$B$6</f>
        <v>46017.541666666635</v>
      </c>
      <c r="B15" s="9">
        <f>A15+Config!$B$6</f>
        <v>46017.583333333299</v>
      </c>
      <c r="C15" s="11">
        <f>COUNTIF(RawData!$D$2:$D$501,A15)</f>
        <v>0</v>
      </c>
      <c r="D15" s="8" t="str">
        <f>IF(C15=0,"",AVERAGEIF(RawData!$D$2:$D$501,A15,RawData!$B$2:$B$501))</f>
        <v/>
      </c>
      <c r="E15" s="8" t="str">
        <f>IF(C15=0,"",_xludf.MINIFS(RawData!$C$2:$C$501,RawData!$D$2:$D$501,A15))</f>
        <v/>
      </c>
      <c r="F15" s="12" t="str">
        <f>IF(C15=0,"",COUNTIFS(RawData!$D$2:$D$501,A15,RawData!$C$2:$C$501,"&lt;0")/C15)</f>
        <v/>
      </c>
      <c r="G15" s="11" t="str">
        <f t="shared" si="0"/>
        <v/>
      </c>
    </row>
    <row r="16" spans="1:9" x14ac:dyDescent="0.25">
      <c r="A16" s="9">
        <f>A15+Config!$B$6</f>
        <v>46017.583333333299</v>
      </c>
      <c r="B16" s="9">
        <f>A16+Config!$B$6</f>
        <v>46017.624999999964</v>
      </c>
      <c r="C16" s="11">
        <f>COUNTIF(RawData!$D$2:$D$501,A16)</f>
        <v>0</v>
      </c>
      <c r="D16" s="8" t="str">
        <f>IF(C16=0,"",AVERAGEIF(RawData!$D$2:$D$501,A16,RawData!$B$2:$B$501))</f>
        <v/>
      </c>
      <c r="E16" s="8" t="str">
        <f>IF(C16=0,"",_xludf.MINIFS(RawData!$C$2:$C$501,RawData!$D$2:$D$501,A16))</f>
        <v/>
      </c>
      <c r="F16" s="12" t="str">
        <f>IF(C16=0,"",COUNTIFS(RawData!$D$2:$D$501,A16,RawData!$C$2:$C$501,"&lt;0")/C16)</f>
        <v/>
      </c>
      <c r="G16" s="11" t="str">
        <f t="shared" si="0"/>
        <v/>
      </c>
    </row>
    <row r="17" spans="1:7" x14ac:dyDescent="0.25">
      <c r="A17" s="9">
        <f>A16+Config!$B$6</f>
        <v>46017.624999999964</v>
      </c>
      <c r="B17" s="9">
        <f>A17+Config!$B$6</f>
        <v>46017.666666666628</v>
      </c>
      <c r="C17" s="11">
        <f>COUNTIF(RawData!$D$2:$D$501,A17)</f>
        <v>0</v>
      </c>
      <c r="D17" s="8" t="str">
        <f>IF(C17=0,"",AVERAGEIF(RawData!$D$2:$D$501,A17,RawData!$B$2:$B$501))</f>
        <v/>
      </c>
      <c r="E17" s="8" t="str">
        <f>IF(C17=0,"",_xludf.MINIFS(RawData!$C$2:$C$501,RawData!$D$2:$D$501,A17))</f>
        <v/>
      </c>
      <c r="F17" s="12" t="str">
        <f>IF(C17=0,"",COUNTIFS(RawData!$D$2:$D$501,A17,RawData!$C$2:$C$501,"&lt;0")/C17)</f>
        <v/>
      </c>
      <c r="G17" s="11" t="str">
        <f t="shared" si="0"/>
        <v/>
      </c>
    </row>
    <row r="18" spans="1:7" x14ac:dyDescent="0.25">
      <c r="A18" s="9">
        <f>A17+Config!$B$6</f>
        <v>46017.666666666628</v>
      </c>
      <c r="B18" s="9">
        <f>A18+Config!$B$6</f>
        <v>46017.708333333292</v>
      </c>
      <c r="C18" s="11">
        <f>COUNTIF(RawData!$D$2:$D$501,A18)</f>
        <v>0</v>
      </c>
      <c r="D18" s="8" t="str">
        <f>IF(C18=0,"",AVERAGEIF(RawData!$D$2:$D$501,A18,RawData!$B$2:$B$501))</f>
        <v/>
      </c>
      <c r="E18" s="8" t="str">
        <f>IF(C18=0,"",_xludf.MINIFS(RawData!$C$2:$C$501,RawData!$D$2:$D$501,A18))</f>
        <v/>
      </c>
      <c r="F18" s="12" t="str">
        <f>IF(C18=0,"",COUNTIFS(RawData!$D$2:$D$501,A18,RawData!$C$2:$C$501,"&lt;0")/C18)</f>
        <v/>
      </c>
      <c r="G18" s="11" t="str">
        <f t="shared" si="0"/>
        <v/>
      </c>
    </row>
    <row r="19" spans="1:7" x14ac:dyDescent="0.25">
      <c r="A19" s="9">
        <f>A18+Config!$B$6</f>
        <v>46017.708333333292</v>
      </c>
      <c r="B19" s="9">
        <f>A19+Config!$B$6</f>
        <v>46017.749999999956</v>
      </c>
      <c r="C19" s="11">
        <f>COUNTIF(RawData!$D$2:$D$501,A19)</f>
        <v>0</v>
      </c>
      <c r="D19" s="8" t="str">
        <f>IF(C19=0,"",AVERAGEIF(RawData!$D$2:$D$501,A19,RawData!$B$2:$B$501))</f>
        <v/>
      </c>
      <c r="E19" s="8" t="str">
        <f>IF(C19=0,"",_xludf.MINIFS(RawData!$C$2:$C$501,RawData!$D$2:$D$501,A19))</f>
        <v/>
      </c>
      <c r="F19" s="12" t="str">
        <f>IF(C19=0,"",COUNTIFS(RawData!$D$2:$D$501,A19,RawData!$C$2:$C$501,"&lt;0")/C19)</f>
        <v/>
      </c>
      <c r="G19" s="11" t="str">
        <f t="shared" si="0"/>
        <v/>
      </c>
    </row>
    <row r="20" spans="1:7" x14ac:dyDescent="0.25">
      <c r="A20" s="9">
        <f>A19+Config!$B$6</f>
        <v>46017.749999999956</v>
      </c>
      <c r="B20" s="9">
        <f>A20+Config!$B$6</f>
        <v>46017.791666666621</v>
      </c>
      <c r="C20" s="11">
        <f>COUNTIF(RawData!$D$2:$D$501,A20)</f>
        <v>0</v>
      </c>
      <c r="D20" s="8" t="str">
        <f>IF(C20=0,"",AVERAGEIF(RawData!$D$2:$D$501,A20,RawData!$B$2:$B$501))</f>
        <v/>
      </c>
      <c r="E20" s="8" t="str">
        <f>IF(C20=0,"",_xludf.MINIFS(RawData!$C$2:$C$501,RawData!$D$2:$D$501,A20))</f>
        <v/>
      </c>
      <c r="F20" s="12" t="str">
        <f>IF(C20=0,"",COUNTIFS(RawData!$D$2:$D$501,A20,RawData!$C$2:$C$501,"&lt;0")/C20)</f>
        <v/>
      </c>
      <c r="G20" s="11" t="str">
        <f t="shared" si="0"/>
        <v/>
      </c>
    </row>
    <row r="21" spans="1:7" x14ac:dyDescent="0.25">
      <c r="A21" s="9">
        <f>A20+Config!$B$6</f>
        <v>46017.791666666621</v>
      </c>
      <c r="B21" s="9">
        <f>A21+Config!$B$6</f>
        <v>46017.833333333285</v>
      </c>
      <c r="C21" s="11">
        <f>COUNTIF(RawData!$D$2:$D$501,A21)</f>
        <v>0</v>
      </c>
      <c r="D21" s="8" t="str">
        <f>IF(C21=0,"",AVERAGEIF(RawData!$D$2:$D$501,A21,RawData!$B$2:$B$501))</f>
        <v/>
      </c>
      <c r="E21" s="8" t="str">
        <f>IF(C21=0,"",_xludf.MINIFS(RawData!$C$2:$C$501,RawData!$D$2:$D$501,A21))</f>
        <v/>
      </c>
      <c r="F21" s="12" t="str">
        <f>IF(C21=0,"",COUNTIFS(RawData!$D$2:$D$501,A21,RawData!$C$2:$C$501,"&lt;0")/C21)</f>
        <v/>
      </c>
      <c r="G21" s="11" t="str">
        <f t="shared" si="0"/>
        <v/>
      </c>
    </row>
    <row r="22" spans="1:7" x14ac:dyDescent="0.25">
      <c r="A22" s="9">
        <f>A21+Config!$B$6</f>
        <v>46017.833333333285</v>
      </c>
      <c r="B22" s="9">
        <f>A22+Config!$B$6</f>
        <v>46017.874999999949</v>
      </c>
      <c r="C22" s="11">
        <f>COUNTIF(RawData!$D$2:$D$501,A22)</f>
        <v>0</v>
      </c>
      <c r="D22" s="8" t="str">
        <f>IF(C22=0,"",AVERAGEIF(RawData!$D$2:$D$501,A22,RawData!$B$2:$B$501))</f>
        <v/>
      </c>
      <c r="E22" s="8" t="str">
        <f>IF(C22=0,"",_xludf.MINIFS(RawData!$C$2:$C$501,RawData!$D$2:$D$501,A22))</f>
        <v/>
      </c>
      <c r="F22" s="12" t="str">
        <f>IF(C22=0,"",COUNTIFS(RawData!$D$2:$D$501,A22,RawData!$C$2:$C$501,"&lt;0")/C22)</f>
        <v/>
      </c>
      <c r="G22" s="11" t="str">
        <f t="shared" si="0"/>
        <v/>
      </c>
    </row>
    <row r="23" spans="1:7" x14ac:dyDescent="0.25">
      <c r="A23" s="9">
        <f>A22+Config!$B$6</f>
        <v>46017.874999999949</v>
      </c>
      <c r="B23" s="9">
        <f>A23+Config!$B$6</f>
        <v>46017.916666666613</v>
      </c>
      <c r="C23" s="11">
        <f>COUNTIF(RawData!$D$2:$D$501,A23)</f>
        <v>0</v>
      </c>
      <c r="D23" s="8" t="str">
        <f>IF(C23=0,"",AVERAGEIF(RawData!$D$2:$D$501,A23,RawData!$B$2:$B$501))</f>
        <v/>
      </c>
      <c r="E23" s="8" t="str">
        <f>IF(C23=0,"",_xludf.MINIFS(RawData!$C$2:$C$501,RawData!$D$2:$D$501,A23))</f>
        <v/>
      </c>
      <c r="F23" s="12" t="str">
        <f>IF(C23=0,"",COUNTIFS(RawData!$D$2:$D$501,A23,RawData!$C$2:$C$501,"&lt;0")/C23)</f>
        <v/>
      </c>
      <c r="G23" s="11" t="str">
        <f t="shared" si="0"/>
        <v/>
      </c>
    </row>
    <row r="24" spans="1:7" x14ac:dyDescent="0.25">
      <c r="A24" s="9">
        <f>A23+Config!$B$6</f>
        <v>46017.916666666613</v>
      </c>
      <c r="B24" s="9">
        <f>A24+Config!$B$6</f>
        <v>46017.958333333278</v>
      </c>
      <c r="C24" s="11">
        <f>COUNTIF(RawData!$D$2:$D$501,A24)</f>
        <v>0</v>
      </c>
      <c r="D24" s="8" t="str">
        <f>IF(C24=0,"",AVERAGEIF(RawData!$D$2:$D$501,A24,RawData!$B$2:$B$501))</f>
        <v/>
      </c>
      <c r="E24" s="8" t="str">
        <f>IF(C24=0,"",_xludf.MINIFS(RawData!$C$2:$C$501,RawData!$D$2:$D$501,A24))</f>
        <v/>
      </c>
      <c r="F24" s="12" t="str">
        <f>IF(C24=0,"",COUNTIFS(RawData!$D$2:$D$501,A24,RawData!$C$2:$C$501,"&lt;0")/C24)</f>
        <v/>
      </c>
      <c r="G24" s="11" t="str">
        <f t="shared" si="0"/>
        <v/>
      </c>
    </row>
    <row r="25" spans="1:7" x14ac:dyDescent="0.25">
      <c r="A25" s="9">
        <f>A24+Config!$B$6</f>
        <v>46017.958333333278</v>
      </c>
      <c r="B25" s="9">
        <f>A25+Config!$B$6</f>
        <v>46017.999999999942</v>
      </c>
      <c r="C25" s="11">
        <f>COUNTIF(RawData!$D$2:$D$501,A25)</f>
        <v>0</v>
      </c>
      <c r="D25" s="8" t="str">
        <f>IF(C25=0,"",AVERAGEIF(RawData!$D$2:$D$501,A25,RawData!$B$2:$B$501))</f>
        <v/>
      </c>
      <c r="E25" s="8" t="str">
        <f>IF(C25=0,"",_xludf.MINIFS(RawData!$C$2:$C$501,RawData!$D$2:$D$501,A25))</f>
        <v/>
      </c>
      <c r="F25" s="12" t="str">
        <f>IF(C25=0,"",COUNTIFS(RawData!$D$2:$D$501,A25,RawData!$C$2:$C$501,"&lt;0")/C25)</f>
        <v/>
      </c>
      <c r="G25" s="11" t="str">
        <f t="shared" si="0"/>
        <v/>
      </c>
    </row>
    <row r="26" spans="1:7" x14ac:dyDescent="0.25">
      <c r="A26" s="9">
        <f>A25+Config!$B$6</f>
        <v>46017.999999999942</v>
      </c>
      <c r="B26" s="9">
        <f>A26+Config!$B$6</f>
        <v>46018.041666666606</v>
      </c>
      <c r="C26" s="11">
        <f>COUNTIF(RawData!$D$2:$D$501,A26)</f>
        <v>0</v>
      </c>
      <c r="D26" s="8" t="str">
        <f>IF(C26=0,"",AVERAGEIF(RawData!$D$2:$D$501,A26,RawData!$B$2:$B$501))</f>
        <v/>
      </c>
      <c r="E26" s="8" t="str">
        <f>IF(C26=0,"",_xludf.MINIFS(RawData!$C$2:$C$501,RawData!$D$2:$D$501,A26))</f>
        <v/>
      </c>
      <c r="F26" s="12" t="str">
        <f>IF(C26=0,"",COUNTIFS(RawData!$D$2:$D$501,A26,RawData!$C$2:$C$501,"&lt;0")/C26)</f>
        <v/>
      </c>
      <c r="G26" s="11" t="str">
        <f t="shared" si="0"/>
        <v/>
      </c>
    </row>
    <row r="27" spans="1:7" x14ac:dyDescent="0.25">
      <c r="A27" s="9">
        <f>A26+Config!$B$6</f>
        <v>46018.041666666606</v>
      </c>
      <c r="B27" s="9">
        <f>A27+Config!$B$6</f>
        <v>46018.08333333327</v>
      </c>
      <c r="C27" s="11">
        <f>COUNTIF(RawData!$D$2:$D$501,A27)</f>
        <v>0</v>
      </c>
      <c r="D27" s="8" t="str">
        <f>IF(C27=0,"",AVERAGEIF(RawData!$D$2:$D$501,A27,RawData!$B$2:$B$501))</f>
        <v/>
      </c>
      <c r="E27" s="8" t="str">
        <f>IF(C27=0,"",_xludf.MINIFS(RawData!$C$2:$C$501,RawData!$D$2:$D$501,A27))</f>
        <v/>
      </c>
      <c r="F27" s="12" t="str">
        <f>IF(C27=0,"",COUNTIFS(RawData!$D$2:$D$501,A27,RawData!$C$2:$C$501,"&lt;0")/C27)</f>
        <v/>
      </c>
      <c r="G27" s="11" t="str">
        <f t="shared" si="0"/>
        <v/>
      </c>
    </row>
    <row r="28" spans="1:7" x14ac:dyDescent="0.25">
      <c r="A28" s="9">
        <f>A27+Config!$B$6</f>
        <v>46018.08333333327</v>
      </c>
      <c r="B28" s="9">
        <f>A28+Config!$B$6</f>
        <v>46018.124999999935</v>
      </c>
      <c r="C28" s="11">
        <f>COUNTIF(RawData!$D$2:$D$501,A28)</f>
        <v>0</v>
      </c>
      <c r="D28" s="8" t="str">
        <f>IF(C28=0,"",AVERAGEIF(RawData!$D$2:$D$501,A28,RawData!$B$2:$B$501))</f>
        <v/>
      </c>
      <c r="E28" s="8" t="str">
        <f>IF(C28=0,"",_xludf.MINIFS(RawData!$C$2:$C$501,RawData!$D$2:$D$501,A28))</f>
        <v/>
      </c>
      <c r="F28" s="12" t="str">
        <f>IF(C28=0,"",COUNTIFS(RawData!$D$2:$D$501,A28,RawData!$C$2:$C$501,"&lt;0")/C28)</f>
        <v/>
      </c>
      <c r="G28" s="11" t="str">
        <f t="shared" si="0"/>
        <v/>
      </c>
    </row>
    <row r="29" spans="1:7" x14ac:dyDescent="0.25">
      <c r="A29" s="9">
        <f>A28+Config!$B$6</f>
        <v>46018.124999999935</v>
      </c>
      <c r="B29" s="9">
        <f>A29+Config!$B$6</f>
        <v>46018.166666666599</v>
      </c>
      <c r="C29" s="11">
        <f>COUNTIF(RawData!$D$2:$D$501,A29)</f>
        <v>0</v>
      </c>
      <c r="D29" s="8" t="str">
        <f>IF(C29=0,"",AVERAGEIF(RawData!$D$2:$D$501,A29,RawData!$B$2:$B$501))</f>
        <v/>
      </c>
      <c r="E29" s="8" t="str">
        <f>IF(C29=0,"",_xludf.MINIFS(RawData!$C$2:$C$501,RawData!$D$2:$D$501,A29))</f>
        <v/>
      </c>
      <c r="F29" s="12" t="str">
        <f>IF(C29=0,"",COUNTIFS(RawData!$D$2:$D$501,A29,RawData!$C$2:$C$501,"&lt;0")/C29)</f>
        <v/>
      </c>
      <c r="G29" s="11" t="str">
        <f t="shared" si="0"/>
        <v/>
      </c>
    </row>
    <row r="30" spans="1:7" x14ac:dyDescent="0.25">
      <c r="A30" s="9">
        <f>A29+Config!$B$6</f>
        <v>46018.166666666599</v>
      </c>
      <c r="B30" s="9">
        <f>A30+Config!$B$6</f>
        <v>46018.208333333263</v>
      </c>
      <c r="C30" s="11">
        <f>COUNTIF(RawData!$D$2:$D$501,A30)</f>
        <v>0</v>
      </c>
      <c r="D30" s="8" t="str">
        <f>IF(C30=0,"",AVERAGEIF(RawData!$D$2:$D$501,A30,RawData!$B$2:$B$501))</f>
        <v/>
      </c>
      <c r="E30" s="8" t="str">
        <f>IF(C30=0,"",_xludf.MINIFS(RawData!$C$2:$C$501,RawData!$D$2:$D$501,A30))</f>
        <v/>
      </c>
      <c r="F30" s="12" t="str">
        <f>IF(C30=0,"",COUNTIFS(RawData!$D$2:$D$501,A30,RawData!$C$2:$C$501,"&lt;0")/C30)</f>
        <v/>
      </c>
      <c r="G30" s="11" t="str">
        <f t="shared" si="0"/>
        <v/>
      </c>
    </row>
    <row r="31" spans="1:7" x14ac:dyDescent="0.25">
      <c r="A31" s="9">
        <f>A30+Config!$B$6</f>
        <v>46018.208333333263</v>
      </c>
      <c r="B31" s="9">
        <f>A31+Config!$B$6</f>
        <v>46018.249999999927</v>
      </c>
      <c r="C31" s="11">
        <f>COUNTIF(RawData!$D$2:$D$501,A31)</f>
        <v>0</v>
      </c>
      <c r="D31" s="8" t="str">
        <f>IF(C31=0,"",AVERAGEIF(RawData!$D$2:$D$501,A31,RawData!$B$2:$B$501))</f>
        <v/>
      </c>
      <c r="E31" s="8" t="str">
        <f>IF(C31=0,"",_xludf.MINIFS(RawData!$C$2:$C$501,RawData!$D$2:$D$501,A31))</f>
        <v/>
      </c>
      <c r="F31" s="12" t="str">
        <f>IF(C31=0,"",COUNTIFS(RawData!$D$2:$D$501,A31,RawData!$C$2:$C$501,"&lt;0")/C31)</f>
        <v/>
      </c>
      <c r="G31" s="11" t="str">
        <f t="shared" si="0"/>
        <v/>
      </c>
    </row>
    <row r="32" spans="1:7" x14ac:dyDescent="0.25">
      <c r="A32" s="9">
        <f>A31+Config!$B$6</f>
        <v>46018.249999999927</v>
      </c>
      <c r="B32" s="9">
        <f>A32+Config!$B$6</f>
        <v>46018.291666666591</v>
      </c>
      <c r="C32" s="11">
        <f>COUNTIF(RawData!$D$2:$D$501,A32)</f>
        <v>0</v>
      </c>
      <c r="D32" s="8" t="str">
        <f>IF(C32=0,"",AVERAGEIF(RawData!$D$2:$D$501,A32,RawData!$B$2:$B$501))</f>
        <v/>
      </c>
      <c r="E32" s="8" t="str">
        <f>IF(C32=0,"",_xludf.MINIFS(RawData!$C$2:$C$501,RawData!$D$2:$D$501,A32))</f>
        <v/>
      </c>
      <c r="F32" s="12" t="str">
        <f>IF(C32=0,"",COUNTIFS(RawData!$D$2:$D$501,A32,RawData!$C$2:$C$501,"&lt;0")/C32)</f>
        <v/>
      </c>
      <c r="G32" s="11" t="str">
        <f t="shared" si="0"/>
        <v/>
      </c>
    </row>
    <row r="33" spans="1:7" x14ac:dyDescent="0.25">
      <c r="A33" s="9">
        <f>A32+Config!$B$6</f>
        <v>46018.291666666591</v>
      </c>
      <c r="B33" s="9">
        <f>A33+Config!$B$6</f>
        <v>46018.333333333256</v>
      </c>
      <c r="C33" s="11">
        <f>COUNTIF(RawData!$D$2:$D$501,A33)</f>
        <v>0</v>
      </c>
      <c r="D33" s="8" t="str">
        <f>IF(C33=0,"",AVERAGEIF(RawData!$D$2:$D$501,A33,RawData!$B$2:$B$501))</f>
        <v/>
      </c>
      <c r="E33" s="8" t="str">
        <f>IF(C33=0,"",_xludf.MINIFS(RawData!$C$2:$C$501,RawData!$D$2:$D$501,A33))</f>
        <v/>
      </c>
      <c r="F33" s="12" t="str">
        <f>IF(C33=0,"",COUNTIFS(RawData!$D$2:$D$501,A33,RawData!$C$2:$C$501,"&lt;0")/C33)</f>
        <v/>
      </c>
      <c r="G33" s="11" t="str">
        <f t="shared" si="0"/>
        <v/>
      </c>
    </row>
    <row r="34" spans="1:7" x14ac:dyDescent="0.25">
      <c r="A34" s="9">
        <f>A33+Config!$B$6</f>
        <v>46018.333333333256</v>
      </c>
      <c r="B34" s="9">
        <f>A34+Config!$B$6</f>
        <v>46018.37499999992</v>
      </c>
      <c r="C34" s="11">
        <f>COUNTIF(RawData!$D$2:$D$501,A34)</f>
        <v>0</v>
      </c>
      <c r="D34" s="8" t="str">
        <f>IF(C34=0,"",AVERAGEIF(RawData!$D$2:$D$501,A34,RawData!$B$2:$B$501))</f>
        <v/>
      </c>
      <c r="E34" s="8" t="str">
        <f>IF(C34=0,"",_xludf.MINIFS(RawData!$C$2:$C$501,RawData!$D$2:$D$501,A34))</f>
        <v/>
      </c>
      <c r="F34" s="12" t="str">
        <f>IF(C34=0,"",COUNTIFS(RawData!$D$2:$D$501,A34,RawData!$C$2:$C$501,"&lt;0")/C34)</f>
        <v/>
      </c>
      <c r="G34" s="11" t="str">
        <f t="shared" ref="G34:G65" si="1">IF(C34=0,"",MIN(2,IF(E34&lt;-10,2,IF(E34&lt;-5,1,0))+IF(D34&gt;600,1,0)))</f>
        <v/>
      </c>
    </row>
    <row r="35" spans="1:7" x14ac:dyDescent="0.25">
      <c r="A35" s="9">
        <f>A34+Config!$B$6</f>
        <v>46018.37499999992</v>
      </c>
      <c r="B35" s="9">
        <f>A35+Config!$B$6</f>
        <v>46018.416666666584</v>
      </c>
      <c r="C35" s="11">
        <f>COUNTIF(RawData!$D$2:$D$501,A35)</f>
        <v>0</v>
      </c>
      <c r="D35" s="8" t="str">
        <f>IF(C35=0,"",AVERAGEIF(RawData!$D$2:$D$501,A35,RawData!$B$2:$B$501))</f>
        <v/>
      </c>
      <c r="E35" s="8" t="str">
        <f>IF(C35=0,"",_xludf.MINIFS(RawData!$C$2:$C$501,RawData!$D$2:$D$501,A35))</f>
        <v/>
      </c>
      <c r="F35" s="12" t="str">
        <f>IF(C35=0,"",COUNTIFS(RawData!$D$2:$D$501,A35,RawData!$C$2:$C$501,"&lt;0")/C35)</f>
        <v/>
      </c>
      <c r="G35" s="11" t="str">
        <f t="shared" si="1"/>
        <v/>
      </c>
    </row>
    <row r="36" spans="1:7" x14ac:dyDescent="0.25">
      <c r="A36" s="9">
        <f>A35+Config!$B$6</f>
        <v>46018.416666666584</v>
      </c>
      <c r="B36" s="9">
        <f>A36+Config!$B$6</f>
        <v>46018.458333333248</v>
      </c>
      <c r="C36" s="11">
        <f>COUNTIF(RawData!$D$2:$D$501,A36)</f>
        <v>0</v>
      </c>
      <c r="D36" s="8" t="str">
        <f>IF(C36=0,"",AVERAGEIF(RawData!$D$2:$D$501,A36,RawData!$B$2:$B$501))</f>
        <v/>
      </c>
      <c r="E36" s="8" t="str">
        <f>IF(C36=0,"",_xludf.MINIFS(RawData!$C$2:$C$501,RawData!$D$2:$D$501,A36))</f>
        <v/>
      </c>
      <c r="F36" s="12" t="str">
        <f>IF(C36=0,"",COUNTIFS(RawData!$D$2:$D$501,A36,RawData!$C$2:$C$501,"&lt;0")/C36)</f>
        <v/>
      </c>
      <c r="G36" s="11" t="str">
        <f t="shared" si="1"/>
        <v/>
      </c>
    </row>
    <row r="37" spans="1:7" x14ac:dyDescent="0.25">
      <c r="A37" s="9">
        <f>A36+Config!$B$6</f>
        <v>46018.458333333248</v>
      </c>
      <c r="B37" s="9">
        <f>A37+Config!$B$6</f>
        <v>46018.499999999913</v>
      </c>
      <c r="C37" s="11">
        <f>COUNTIF(RawData!$D$2:$D$501,A37)</f>
        <v>0</v>
      </c>
      <c r="D37" s="8" t="str">
        <f>IF(C37=0,"",AVERAGEIF(RawData!$D$2:$D$501,A37,RawData!$B$2:$B$501))</f>
        <v/>
      </c>
      <c r="E37" s="8" t="str">
        <f>IF(C37=0,"",_xludf.MINIFS(RawData!$C$2:$C$501,RawData!$D$2:$D$501,A37))</f>
        <v/>
      </c>
      <c r="F37" s="12" t="str">
        <f>IF(C37=0,"",COUNTIFS(RawData!$D$2:$D$501,A37,RawData!$C$2:$C$501,"&lt;0")/C37)</f>
        <v/>
      </c>
      <c r="G37" s="11" t="str">
        <f t="shared" si="1"/>
        <v/>
      </c>
    </row>
    <row r="38" spans="1:7" x14ac:dyDescent="0.25">
      <c r="A38" s="9">
        <f>A37+Config!$B$6</f>
        <v>46018.499999999913</v>
      </c>
      <c r="B38" s="9">
        <f>A38+Config!$B$6</f>
        <v>46018.541666666577</v>
      </c>
      <c r="C38" s="11">
        <f>COUNTIF(RawData!$D$2:$D$501,A38)</f>
        <v>0</v>
      </c>
      <c r="D38" s="8" t="str">
        <f>IF(C38=0,"",AVERAGEIF(RawData!$D$2:$D$501,A38,RawData!$B$2:$B$501))</f>
        <v/>
      </c>
      <c r="E38" s="8" t="str">
        <f>IF(C38=0,"",_xludf.MINIFS(RawData!$C$2:$C$501,RawData!$D$2:$D$501,A38))</f>
        <v/>
      </c>
      <c r="F38" s="12" t="str">
        <f>IF(C38=0,"",COUNTIFS(RawData!$D$2:$D$501,A38,RawData!$C$2:$C$501,"&lt;0")/C38)</f>
        <v/>
      </c>
      <c r="G38" s="11" t="str">
        <f t="shared" si="1"/>
        <v/>
      </c>
    </row>
    <row r="39" spans="1:7" x14ac:dyDescent="0.25">
      <c r="A39" s="9">
        <f>A38+Config!$B$6</f>
        <v>46018.541666666577</v>
      </c>
      <c r="B39" s="9">
        <f>A39+Config!$B$6</f>
        <v>46018.583333333241</v>
      </c>
      <c r="C39" s="11">
        <f>COUNTIF(RawData!$D$2:$D$501,A39)</f>
        <v>0</v>
      </c>
      <c r="D39" s="8" t="str">
        <f>IF(C39=0,"",AVERAGEIF(RawData!$D$2:$D$501,A39,RawData!$B$2:$B$501))</f>
        <v/>
      </c>
      <c r="E39" s="8" t="str">
        <f>IF(C39=0,"",_xludf.MINIFS(RawData!$C$2:$C$501,RawData!$D$2:$D$501,A39))</f>
        <v/>
      </c>
      <c r="F39" s="12" t="str">
        <f>IF(C39=0,"",COUNTIFS(RawData!$D$2:$D$501,A39,RawData!$C$2:$C$501,"&lt;0")/C39)</f>
        <v/>
      </c>
      <c r="G39" s="11" t="str">
        <f t="shared" si="1"/>
        <v/>
      </c>
    </row>
    <row r="40" spans="1:7" x14ac:dyDescent="0.25">
      <c r="A40" s="9">
        <f>A39+Config!$B$6</f>
        <v>46018.583333333241</v>
      </c>
      <c r="B40" s="9">
        <f>A40+Config!$B$6</f>
        <v>46018.624999999905</v>
      </c>
      <c r="C40" s="11">
        <f>COUNTIF(RawData!$D$2:$D$501,A40)</f>
        <v>0</v>
      </c>
      <c r="D40" s="8" t="str">
        <f>IF(C40=0,"",AVERAGEIF(RawData!$D$2:$D$501,A40,RawData!$B$2:$B$501))</f>
        <v/>
      </c>
      <c r="E40" s="8" t="str">
        <f>IF(C40=0,"",_xludf.MINIFS(RawData!$C$2:$C$501,RawData!$D$2:$D$501,A40))</f>
        <v/>
      </c>
      <c r="F40" s="12" t="str">
        <f>IF(C40=0,"",COUNTIFS(RawData!$D$2:$D$501,A40,RawData!$C$2:$C$501,"&lt;0")/C40)</f>
        <v/>
      </c>
      <c r="G40" s="11" t="str">
        <f t="shared" si="1"/>
        <v/>
      </c>
    </row>
    <row r="41" spans="1:7" x14ac:dyDescent="0.25">
      <c r="A41" s="9">
        <f>A40+Config!$B$6</f>
        <v>46018.624999999905</v>
      </c>
      <c r="B41" s="9">
        <f>A41+Config!$B$6</f>
        <v>46018.66666666657</v>
      </c>
      <c r="C41" s="11">
        <f>COUNTIF(RawData!$D$2:$D$501,A41)</f>
        <v>0</v>
      </c>
      <c r="D41" s="8" t="str">
        <f>IF(C41=0,"",AVERAGEIF(RawData!$D$2:$D$501,A41,RawData!$B$2:$B$501))</f>
        <v/>
      </c>
      <c r="E41" s="8" t="str">
        <f>IF(C41=0,"",_xludf.MINIFS(RawData!$C$2:$C$501,RawData!$D$2:$D$501,A41))</f>
        <v/>
      </c>
      <c r="F41" s="12" t="str">
        <f>IF(C41=0,"",COUNTIFS(RawData!$D$2:$D$501,A41,RawData!$C$2:$C$501,"&lt;0")/C41)</f>
        <v/>
      </c>
      <c r="G41" s="11" t="str">
        <f t="shared" si="1"/>
        <v/>
      </c>
    </row>
    <row r="42" spans="1:7" x14ac:dyDescent="0.25">
      <c r="A42" s="9">
        <f>A41+Config!$B$6</f>
        <v>46018.66666666657</v>
      </c>
      <c r="B42" s="9">
        <f>A42+Config!$B$6</f>
        <v>46018.708333333234</v>
      </c>
      <c r="C42" s="11">
        <f>COUNTIF(RawData!$D$2:$D$501,A42)</f>
        <v>0</v>
      </c>
      <c r="D42" s="8" t="str">
        <f>IF(C42=0,"",AVERAGEIF(RawData!$D$2:$D$501,A42,RawData!$B$2:$B$501))</f>
        <v/>
      </c>
      <c r="E42" s="8" t="str">
        <f>IF(C42=0,"",_xludf.MINIFS(RawData!$C$2:$C$501,RawData!$D$2:$D$501,A42))</f>
        <v/>
      </c>
      <c r="F42" s="12" t="str">
        <f>IF(C42=0,"",COUNTIFS(RawData!$D$2:$D$501,A42,RawData!$C$2:$C$501,"&lt;0")/C42)</f>
        <v/>
      </c>
      <c r="G42" s="11" t="str">
        <f t="shared" si="1"/>
        <v/>
      </c>
    </row>
    <row r="43" spans="1:7" x14ac:dyDescent="0.25">
      <c r="A43" s="9">
        <f>A42+Config!$B$6</f>
        <v>46018.708333333234</v>
      </c>
      <c r="B43" s="9">
        <f>A43+Config!$B$6</f>
        <v>46018.749999999898</v>
      </c>
      <c r="C43" s="11">
        <f>COUNTIF(RawData!$D$2:$D$501,A43)</f>
        <v>0</v>
      </c>
      <c r="D43" s="8" t="str">
        <f>IF(C43=0,"",AVERAGEIF(RawData!$D$2:$D$501,A43,RawData!$B$2:$B$501))</f>
        <v/>
      </c>
      <c r="E43" s="8" t="str">
        <f>IF(C43=0,"",_xludf.MINIFS(RawData!$C$2:$C$501,RawData!$D$2:$D$501,A43))</f>
        <v/>
      </c>
      <c r="F43" s="12" t="str">
        <f>IF(C43=0,"",COUNTIFS(RawData!$D$2:$D$501,A43,RawData!$C$2:$C$501,"&lt;0")/C43)</f>
        <v/>
      </c>
      <c r="G43" s="11" t="str">
        <f t="shared" si="1"/>
        <v/>
      </c>
    </row>
    <row r="44" spans="1:7" x14ac:dyDescent="0.25">
      <c r="A44" s="9">
        <f>A43+Config!$B$6</f>
        <v>46018.749999999898</v>
      </c>
      <c r="B44" s="9">
        <f>A44+Config!$B$6</f>
        <v>46018.791666666562</v>
      </c>
      <c r="C44" s="11">
        <f>COUNTIF(RawData!$D$2:$D$501,A44)</f>
        <v>0</v>
      </c>
      <c r="D44" s="8" t="str">
        <f>IF(C44=0,"",AVERAGEIF(RawData!$D$2:$D$501,A44,RawData!$B$2:$B$501))</f>
        <v/>
      </c>
      <c r="E44" s="8" t="str">
        <f>IF(C44=0,"",_xludf.MINIFS(RawData!$C$2:$C$501,RawData!$D$2:$D$501,A44))</f>
        <v/>
      </c>
      <c r="F44" s="12" t="str">
        <f>IF(C44=0,"",COUNTIFS(RawData!$D$2:$D$501,A44,RawData!$C$2:$C$501,"&lt;0")/C44)</f>
        <v/>
      </c>
      <c r="G44" s="11" t="str">
        <f t="shared" si="1"/>
        <v/>
      </c>
    </row>
    <row r="45" spans="1:7" x14ac:dyDescent="0.25">
      <c r="A45" s="9">
        <f>A44+Config!$B$6</f>
        <v>46018.791666666562</v>
      </c>
      <c r="B45" s="9">
        <f>A45+Config!$B$6</f>
        <v>46018.833333333227</v>
      </c>
      <c r="C45" s="11">
        <f>COUNTIF(RawData!$D$2:$D$501,A45)</f>
        <v>0</v>
      </c>
      <c r="D45" s="8" t="str">
        <f>IF(C45=0,"",AVERAGEIF(RawData!$D$2:$D$501,A45,RawData!$B$2:$B$501))</f>
        <v/>
      </c>
      <c r="E45" s="8" t="str">
        <f>IF(C45=0,"",_xludf.MINIFS(RawData!$C$2:$C$501,RawData!$D$2:$D$501,A45))</f>
        <v/>
      </c>
      <c r="F45" s="12" t="str">
        <f>IF(C45=0,"",COUNTIFS(RawData!$D$2:$D$501,A45,RawData!$C$2:$C$501,"&lt;0")/C45)</f>
        <v/>
      </c>
      <c r="G45" s="11" t="str">
        <f t="shared" si="1"/>
        <v/>
      </c>
    </row>
    <row r="46" spans="1:7" x14ac:dyDescent="0.25">
      <c r="A46" s="9">
        <f>A45+Config!$B$6</f>
        <v>46018.833333333227</v>
      </c>
      <c r="B46" s="9">
        <f>A46+Config!$B$6</f>
        <v>46018.874999999891</v>
      </c>
      <c r="C46" s="11">
        <f>COUNTIF(RawData!$D$2:$D$501,A46)</f>
        <v>0</v>
      </c>
      <c r="D46" s="8" t="str">
        <f>IF(C46=0,"",AVERAGEIF(RawData!$D$2:$D$501,A46,RawData!$B$2:$B$501))</f>
        <v/>
      </c>
      <c r="E46" s="8" t="str">
        <f>IF(C46=0,"",_xludf.MINIFS(RawData!$C$2:$C$501,RawData!$D$2:$D$501,A46))</f>
        <v/>
      </c>
      <c r="F46" s="12" t="str">
        <f>IF(C46=0,"",COUNTIFS(RawData!$D$2:$D$501,A46,RawData!$C$2:$C$501,"&lt;0")/C46)</f>
        <v/>
      </c>
      <c r="G46" s="11" t="str">
        <f t="shared" si="1"/>
        <v/>
      </c>
    </row>
    <row r="47" spans="1:7" x14ac:dyDescent="0.25">
      <c r="A47" s="9">
        <f>A46+Config!$B$6</f>
        <v>46018.874999999891</v>
      </c>
      <c r="B47" s="9">
        <f>A47+Config!$B$6</f>
        <v>46018.916666666555</v>
      </c>
      <c r="C47" s="11">
        <f>COUNTIF(RawData!$D$2:$D$501,A47)</f>
        <v>0</v>
      </c>
      <c r="D47" s="8" t="str">
        <f>IF(C47=0,"",AVERAGEIF(RawData!$D$2:$D$501,A47,RawData!$B$2:$B$501))</f>
        <v/>
      </c>
      <c r="E47" s="8" t="str">
        <f>IF(C47=0,"",_xludf.MINIFS(RawData!$C$2:$C$501,RawData!$D$2:$D$501,A47))</f>
        <v/>
      </c>
      <c r="F47" s="12" t="str">
        <f>IF(C47=0,"",COUNTIFS(RawData!$D$2:$D$501,A47,RawData!$C$2:$C$501,"&lt;0")/C47)</f>
        <v/>
      </c>
      <c r="G47" s="11" t="str">
        <f t="shared" si="1"/>
        <v/>
      </c>
    </row>
    <row r="48" spans="1:7" x14ac:dyDescent="0.25">
      <c r="A48" s="9">
        <f>A47+Config!$B$6</f>
        <v>46018.916666666555</v>
      </c>
      <c r="B48" s="9">
        <f>A48+Config!$B$6</f>
        <v>46018.958333333219</v>
      </c>
      <c r="C48" s="11">
        <f>COUNTIF(RawData!$D$2:$D$501,A48)</f>
        <v>0</v>
      </c>
      <c r="D48" s="8" t="str">
        <f>IF(C48=0,"",AVERAGEIF(RawData!$D$2:$D$501,A48,RawData!$B$2:$B$501))</f>
        <v/>
      </c>
      <c r="E48" s="8" t="str">
        <f>IF(C48=0,"",_xludf.MINIFS(RawData!$C$2:$C$501,RawData!$D$2:$D$501,A48))</f>
        <v/>
      </c>
      <c r="F48" s="12" t="str">
        <f>IF(C48=0,"",COUNTIFS(RawData!$D$2:$D$501,A48,RawData!$C$2:$C$501,"&lt;0")/C48)</f>
        <v/>
      </c>
      <c r="G48" s="11" t="str">
        <f t="shared" si="1"/>
        <v/>
      </c>
    </row>
    <row r="49" spans="1:7" x14ac:dyDescent="0.25">
      <c r="A49" s="9">
        <f>A48+Config!$B$6</f>
        <v>46018.958333333219</v>
      </c>
      <c r="B49" s="9">
        <f>A49+Config!$B$6</f>
        <v>46018.999999999884</v>
      </c>
      <c r="C49" s="11">
        <f>COUNTIF(RawData!$D$2:$D$501,A49)</f>
        <v>0</v>
      </c>
      <c r="D49" s="8" t="str">
        <f>IF(C49=0,"",AVERAGEIF(RawData!$D$2:$D$501,A49,RawData!$B$2:$B$501))</f>
        <v/>
      </c>
      <c r="E49" s="8" t="str">
        <f>IF(C49=0,"",_xludf.MINIFS(RawData!$C$2:$C$501,RawData!$D$2:$D$501,A49))</f>
        <v/>
      </c>
      <c r="F49" s="12" t="str">
        <f>IF(C49=0,"",COUNTIFS(RawData!$D$2:$D$501,A49,RawData!$C$2:$C$501,"&lt;0")/C49)</f>
        <v/>
      </c>
      <c r="G49" s="11" t="str">
        <f t="shared" si="1"/>
        <v/>
      </c>
    </row>
    <row r="50" spans="1:7" x14ac:dyDescent="0.25">
      <c r="A50" s="9">
        <f>A49+Config!$B$6</f>
        <v>46018.999999999884</v>
      </c>
      <c r="B50" s="9">
        <f>A50+Config!$B$6</f>
        <v>46019.041666666548</v>
      </c>
      <c r="C50" s="11">
        <f>COUNTIF(RawData!$D$2:$D$501,A50)</f>
        <v>0</v>
      </c>
      <c r="D50" s="8" t="str">
        <f>IF(C50=0,"",AVERAGEIF(RawData!$D$2:$D$501,A50,RawData!$B$2:$B$501))</f>
        <v/>
      </c>
      <c r="E50" s="8" t="str">
        <f>IF(C50=0,"",_xludf.MINIFS(RawData!$C$2:$C$501,RawData!$D$2:$D$501,A50))</f>
        <v/>
      </c>
      <c r="F50" s="12" t="str">
        <f>IF(C50=0,"",COUNTIFS(RawData!$D$2:$D$501,A50,RawData!$C$2:$C$501,"&lt;0")/C50)</f>
        <v/>
      </c>
      <c r="G50" s="11" t="str">
        <f t="shared" si="1"/>
        <v/>
      </c>
    </row>
    <row r="51" spans="1:7" x14ac:dyDescent="0.25">
      <c r="A51" s="9">
        <f>A50+Config!$B$6</f>
        <v>46019.041666666548</v>
      </c>
      <c r="B51" s="9">
        <f>A51+Config!$B$6</f>
        <v>46019.083333333212</v>
      </c>
      <c r="C51" s="11">
        <f>COUNTIF(RawData!$D$2:$D$501,A51)</f>
        <v>0</v>
      </c>
      <c r="D51" s="8" t="str">
        <f>IF(C51=0,"",AVERAGEIF(RawData!$D$2:$D$501,A51,RawData!$B$2:$B$501))</f>
        <v/>
      </c>
      <c r="E51" s="8" t="str">
        <f>IF(C51=0,"",_xludf.MINIFS(RawData!$C$2:$C$501,RawData!$D$2:$D$501,A51))</f>
        <v/>
      </c>
      <c r="F51" s="12" t="str">
        <f>IF(C51=0,"",COUNTIFS(RawData!$D$2:$D$501,A51,RawData!$C$2:$C$501,"&lt;0")/C51)</f>
        <v/>
      </c>
      <c r="G51" s="11" t="str">
        <f t="shared" si="1"/>
        <v/>
      </c>
    </row>
    <row r="52" spans="1:7" x14ac:dyDescent="0.25">
      <c r="A52" s="9">
        <f>A51+Config!$B$6</f>
        <v>46019.083333333212</v>
      </c>
      <c r="B52" s="9">
        <f>A52+Config!$B$6</f>
        <v>46019.124999999876</v>
      </c>
      <c r="C52" s="11">
        <f>COUNTIF(RawData!$D$2:$D$501,A52)</f>
        <v>0</v>
      </c>
      <c r="D52" s="8" t="str">
        <f>IF(C52=0,"",AVERAGEIF(RawData!$D$2:$D$501,A52,RawData!$B$2:$B$501))</f>
        <v/>
      </c>
      <c r="E52" s="8" t="str">
        <f>IF(C52=0,"",_xludf.MINIFS(RawData!$C$2:$C$501,RawData!$D$2:$D$501,A52))</f>
        <v/>
      </c>
      <c r="F52" s="12" t="str">
        <f>IF(C52=0,"",COUNTIFS(RawData!$D$2:$D$501,A52,RawData!$C$2:$C$501,"&lt;0")/C52)</f>
        <v/>
      </c>
      <c r="G52" s="11" t="str">
        <f t="shared" si="1"/>
        <v/>
      </c>
    </row>
    <row r="53" spans="1:7" x14ac:dyDescent="0.25">
      <c r="A53" s="9">
        <f>A52+Config!$B$6</f>
        <v>46019.124999999876</v>
      </c>
      <c r="B53" s="9">
        <f>A53+Config!$B$6</f>
        <v>46019.166666666541</v>
      </c>
      <c r="C53" s="11">
        <f>COUNTIF(RawData!$D$2:$D$501,A53)</f>
        <v>0</v>
      </c>
      <c r="D53" s="8" t="str">
        <f>IF(C53=0,"",AVERAGEIF(RawData!$D$2:$D$501,A53,RawData!$B$2:$B$501))</f>
        <v/>
      </c>
      <c r="E53" s="8" t="str">
        <f>IF(C53=0,"",_xludf.MINIFS(RawData!$C$2:$C$501,RawData!$D$2:$D$501,A53))</f>
        <v/>
      </c>
      <c r="F53" s="12" t="str">
        <f>IF(C53=0,"",COUNTIFS(RawData!$D$2:$D$501,A53,RawData!$C$2:$C$501,"&lt;0")/C53)</f>
        <v/>
      </c>
      <c r="G53" s="11" t="str">
        <f t="shared" si="1"/>
        <v/>
      </c>
    </row>
    <row r="54" spans="1:7" x14ac:dyDescent="0.25">
      <c r="A54" s="9">
        <f>A53+Config!$B$6</f>
        <v>46019.166666666541</v>
      </c>
      <c r="B54" s="9">
        <f>A54+Config!$B$6</f>
        <v>46019.208333333205</v>
      </c>
      <c r="C54" s="11">
        <f>COUNTIF(RawData!$D$2:$D$501,A54)</f>
        <v>0</v>
      </c>
      <c r="D54" s="8" t="str">
        <f>IF(C54=0,"",AVERAGEIF(RawData!$D$2:$D$501,A54,RawData!$B$2:$B$501))</f>
        <v/>
      </c>
      <c r="E54" s="8" t="str">
        <f>IF(C54=0,"",_xludf.MINIFS(RawData!$C$2:$C$501,RawData!$D$2:$D$501,A54))</f>
        <v/>
      </c>
      <c r="F54" s="12" t="str">
        <f>IF(C54=0,"",COUNTIFS(RawData!$D$2:$D$501,A54,RawData!$C$2:$C$501,"&lt;0")/C54)</f>
        <v/>
      </c>
      <c r="G54" s="11" t="str">
        <f t="shared" si="1"/>
        <v/>
      </c>
    </row>
    <row r="55" spans="1:7" x14ac:dyDescent="0.25">
      <c r="A55" s="9">
        <f>A54+Config!$B$6</f>
        <v>46019.208333333205</v>
      </c>
      <c r="B55" s="9">
        <f>A55+Config!$B$6</f>
        <v>46019.249999999869</v>
      </c>
      <c r="C55" s="11">
        <f>COUNTIF(RawData!$D$2:$D$501,A55)</f>
        <v>0</v>
      </c>
      <c r="D55" s="8" t="str">
        <f>IF(C55=0,"",AVERAGEIF(RawData!$D$2:$D$501,A55,RawData!$B$2:$B$501))</f>
        <v/>
      </c>
      <c r="E55" s="8" t="str">
        <f>IF(C55=0,"",_xludf.MINIFS(RawData!$C$2:$C$501,RawData!$D$2:$D$501,A55))</f>
        <v/>
      </c>
      <c r="F55" s="12" t="str">
        <f>IF(C55=0,"",COUNTIFS(RawData!$D$2:$D$501,A55,RawData!$C$2:$C$501,"&lt;0")/C55)</f>
        <v/>
      </c>
      <c r="G55" s="11" t="str">
        <f t="shared" si="1"/>
        <v/>
      </c>
    </row>
    <row r="56" spans="1:7" x14ac:dyDescent="0.25">
      <c r="A56" s="9">
        <f>A55+Config!$B$6</f>
        <v>46019.249999999869</v>
      </c>
      <c r="B56" s="9">
        <f>A56+Config!$B$6</f>
        <v>46019.291666666533</v>
      </c>
      <c r="C56" s="11">
        <f>COUNTIF(RawData!$D$2:$D$501,A56)</f>
        <v>0</v>
      </c>
      <c r="D56" s="8" t="str">
        <f>IF(C56=0,"",AVERAGEIF(RawData!$D$2:$D$501,A56,RawData!$B$2:$B$501))</f>
        <v/>
      </c>
      <c r="E56" s="8" t="str">
        <f>IF(C56=0,"",_xludf.MINIFS(RawData!$C$2:$C$501,RawData!$D$2:$D$501,A56))</f>
        <v/>
      </c>
      <c r="F56" s="12" t="str">
        <f>IF(C56=0,"",COUNTIFS(RawData!$D$2:$D$501,A56,RawData!$C$2:$C$501,"&lt;0")/C56)</f>
        <v/>
      </c>
      <c r="G56" s="11" t="str">
        <f t="shared" si="1"/>
        <v/>
      </c>
    </row>
    <row r="57" spans="1:7" x14ac:dyDescent="0.25">
      <c r="A57" s="9">
        <f>A56+Config!$B$6</f>
        <v>46019.291666666533</v>
      </c>
      <c r="B57" s="9">
        <f>A57+Config!$B$6</f>
        <v>46019.333333333198</v>
      </c>
      <c r="C57" s="11">
        <f>COUNTIF(RawData!$D$2:$D$501,A57)</f>
        <v>0</v>
      </c>
      <c r="D57" s="8" t="str">
        <f>IF(C57=0,"",AVERAGEIF(RawData!$D$2:$D$501,A57,RawData!$B$2:$B$501))</f>
        <v/>
      </c>
      <c r="E57" s="8" t="str">
        <f>IF(C57=0,"",_xludf.MINIFS(RawData!$C$2:$C$501,RawData!$D$2:$D$501,A57))</f>
        <v/>
      </c>
      <c r="F57" s="12" t="str">
        <f>IF(C57=0,"",COUNTIFS(RawData!$D$2:$D$501,A57,RawData!$C$2:$C$501,"&lt;0")/C57)</f>
        <v/>
      </c>
      <c r="G57" s="11" t="str">
        <f t="shared" si="1"/>
        <v/>
      </c>
    </row>
    <row r="58" spans="1:7" x14ac:dyDescent="0.25">
      <c r="A58" s="9">
        <f>A57+Config!$B$6</f>
        <v>46019.333333333198</v>
      </c>
      <c r="B58" s="9">
        <f>A58+Config!$B$6</f>
        <v>46019.374999999862</v>
      </c>
      <c r="C58" s="11">
        <f>COUNTIF(RawData!$D$2:$D$501,A58)</f>
        <v>0</v>
      </c>
      <c r="D58" s="8" t="str">
        <f>IF(C58=0,"",AVERAGEIF(RawData!$D$2:$D$501,A58,RawData!$B$2:$B$501))</f>
        <v/>
      </c>
      <c r="E58" s="8" t="str">
        <f>IF(C58=0,"",_xludf.MINIFS(RawData!$C$2:$C$501,RawData!$D$2:$D$501,A58))</f>
        <v/>
      </c>
      <c r="F58" s="12" t="str">
        <f>IF(C58=0,"",COUNTIFS(RawData!$D$2:$D$501,A58,RawData!$C$2:$C$501,"&lt;0")/C58)</f>
        <v/>
      </c>
      <c r="G58" s="11" t="str">
        <f t="shared" si="1"/>
        <v/>
      </c>
    </row>
    <row r="59" spans="1:7" x14ac:dyDescent="0.25">
      <c r="A59" s="9">
        <f>A58+Config!$B$6</f>
        <v>46019.374999999862</v>
      </c>
      <c r="B59" s="9">
        <f>A59+Config!$B$6</f>
        <v>46019.416666666526</v>
      </c>
      <c r="C59" s="11">
        <f>COUNTIF(RawData!$D$2:$D$501,A59)</f>
        <v>0</v>
      </c>
      <c r="D59" s="8" t="str">
        <f>IF(C59=0,"",AVERAGEIF(RawData!$D$2:$D$501,A59,RawData!$B$2:$B$501))</f>
        <v/>
      </c>
      <c r="E59" s="8" t="str">
        <f>IF(C59=0,"",_xludf.MINIFS(RawData!$C$2:$C$501,RawData!$D$2:$D$501,A59))</f>
        <v/>
      </c>
      <c r="F59" s="12" t="str">
        <f>IF(C59=0,"",COUNTIFS(RawData!$D$2:$D$501,A59,RawData!$C$2:$C$501,"&lt;0")/C59)</f>
        <v/>
      </c>
      <c r="G59" s="11" t="str">
        <f t="shared" si="1"/>
        <v/>
      </c>
    </row>
    <row r="60" spans="1:7" x14ac:dyDescent="0.25">
      <c r="A60" s="9">
        <f>A59+Config!$B$6</f>
        <v>46019.416666666526</v>
      </c>
      <c r="B60" s="9">
        <f>A60+Config!$B$6</f>
        <v>46019.45833333319</v>
      </c>
      <c r="C60" s="11">
        <f>COUNTIF(RawData!$D$2:$D$501,A60)</f>
        <v>0</v>
      </c>
      <c r="D60" s="8" t="str">
        <f>IF(C60=0,"",AVERAGEIF(RawData!$D$2:$D$501,A60,RawData!$B$2:$B$501))</f>
        <v/>
      </c>
      <c r="E60" s="8" t="str">
        <f>IF(C60=0,"",_xludf.MINIFS(RawData!$C$2:$C$501,RawData!$D$2:$D$501,A60))</f>
        <v/>
      </c>
      <c r="F60" s="12" t="str">
        <f>IF(C60=0,"",COUNTIFS(RawData!$D$2:$D$501,A60,RawData!$C$2:$C$501,"&lt;0")/C60)</f>
        <v/>
      </c>
      <c r="G60" s="11" t="str">
        <f t="shared" si="1"/>
        <v/>
      </c>
    </row>
    <row r="61" spans="1:7" x14ac:dyDescent="0.25">
      <c r="A61" s="9">
        <f>A60+Config!$B$6</f>
        <v>46019.45833333319</v>
      </c>
      <c r="B61" s="9">
        <f>A61+Config!$B$6</f>
        <v>46019.499999999854</v>
      </c>
      <c r="C61" s="11">
        <f>COUNTIF(RawData!$D$2:$D$501,A61)</f>
        <v>0</v>
      </c>
      <c r="D61" s="8" t="str">
        <f>IF(C61=0,"",AVERAGEIF(RawData!$D$2:$D$501,A61,RawData!$B$2:$B$501))</f>
        <v/>
      </c>
      <c r="E61" s="8" t="str">
        <f>IF(C61=0,"",_xludf.MINIFS(RawData!$C$2:$C$501,RawData!$D$2:$D$501,A61))</f>
        <v/>
      </c>
      <c r="F61" s="12" t="str">
        <f>IF(C61=0,"",COUNTIFS(RawData!$D$2:$D$501,A61,RawData!$C$2:$C$501,"&lt;0")/C61)</f>
        <v/>
      </c>
      <c r="G61" s="11" t="str">
        <f t="shared" si="1"/>
        <v/>
      </c>
    </row>
    <row r="62" spans="1:7" x14ac:dyDescent="0.25">
      <c r="A62" s="9">
        <f>A61+Config!$B$6</f>
        <v>46019.499999999854</v>
      </c>
      <c r="B62" s="9">
        <f>A62+Config!$B$6</f>
        <v>46019.541666666519</v>
      </c>
      <c r="C62" s="11">
        <f>COUNTIF(RawData!$D$2:$D$501,A62)</f>
        <v>0</v>
      </c>
      <c r="D62" s="8" t="str">
        <f>IF(C62=0,"",AVERAGEIF(RawData!$D$2:$D$501,A62,RawData!$B$2:$B$501))</f>
        <v/>
      </c>
      <c r="E62" s="8" t="str">
        <f>IF(C62=0,"",_xludf.MINIFS(RawData!$C$2:$C$501,RawData!$D$2:$D$501,A62))</f>
        <v/>
      </c>
      <c r="F62" s="12" t="str">
        <f>IF(C62=0,"",COUNTIFS(RawData!$D$2:$D$501,A62,RawData!$C$2:$C$501,"&lt;0")/C62)</f>
        <v/>
      </c>
      <c r="G62" s="11" t="str">
        <f t="shared" si="1"/>
        <v/>
      </c>
    </row>
    <row r="63" spans="1:7" x14ac:dyDescent="0.25">
      <c r="A63" s="9">
        <f>A62+Config!$B$6</f>
        <v>46019.541666666519</v>
      </c>
      <c r="B63" s="9">
        <f>A63+Config!$B$6</f>
        <v>46019.583333333183</v>
      </c>
      <c r="C63" s="11">
        <f>COUNTIF(RawData!$D$2:$D$501,A63)</f>
        <v>0</v>
      </c>
      <c r="D63" s="8" t="str">
        <f>IF(C63=0,"",AVERAGEIF(RawData!$D$2:$D$501,A63,RawData!$B$2:$B$501))</f>
        <v/>
      </c>
      <c r="E63" s="8" t="str">
        <f>IF(C63=0,"",_xludf.MINIFS(RawData!$C$2:$C$501,RawData!$D$2:$D$501,A63))</f>
        <v/>
      </c>
      <c r="F63" s="12" t="str">
        <f>IF(C63=0,"",COUNTIFS(RawData!$D$2:$D$501,A63,RawData!$C$2:$C$501,"&lt;0")/C63)</f>
        <v/>
      </c>
      <c r="G63" s="11" t="str">
        <f t="shared" si="1"/>
        <v/>
      </c>
    </row>
    <row r="64" spans="1:7" x14ac:dyDescent="0.25">
      <c r="A64" s="9">
        <f>A63+Config!$B$6</f>
        <v>46019.583333333183</v>
      </c>
      <c r="B64" s="9">
        <f>A64+Config!$B$6</f>
        <v>46019.624999999847</v>
      </c>
      <c r="C64" s="11">
        <f>COUNTIF(RawData!$D$2:$D$501,A64)</f>
        <v>0</v>
      </c>
      <c r="D64" s="8" t="str">
        <f>IF(C64=0,"",AVERAGEIF(RawData!$D$2:$D$501,A64,RawData!$B$2:$B$501))</f>
        <v/>
      </c>
      <c r="E64" s="8" t="str">
        <f>IF(C64=0,"",_xludf.MINIFS(RawData!$C$2:$C$501,RawData!$D$2:$D$501,A64))</f>
        <v/>
      </c>
      <c r="F64" s="12" t="str">
        <f>IF(C64=0,"",COUNTIFS(RawData!$D$2:$D$501,A64,RawData!$C$2:$C$501,"&lt;0")/C64)</f>
        <v/>
      </c>
      <c r="G64" s="11" t="str">
        <f t="shared" si="1"/>
        <v/>
      </c>
    </row>
    <row r="65" spans="1:7" x14ac:dyDescent="0.25">
      <c r="A65" s="9">
        <f>A64+Config!$B$6</f>
        <v>46019.624999999847</v>
      </c>
      <c r="B65" s="9">
        <f>A65+Config!$B$6</f>
        <v>46019.666666666511</v>
      </c>
      <c r="C65" s="11">
        <f>COUNTIF(RawData!$D$2:$D$501,A65)</f>
        <v>0</v>
      </c>
      <c r="D65" s="8" t="str">
        <f>IF(C65=0,"",AVERAGEIF(RawData!$D$2:$D$501,A65,RawData!$B$2:$B$501))</f>
        <v/>
      </c>
      <c r="E65" s="8" t="str">
        <f>IF(C65=0,"",_xludf.MINIFS(RawData!$C$2:$C$501,RawData!$D$2:$D$501,A65))</f>
        <v/>
      </c>
      <c r="F65" s="12" t="str">
        <f>IF(C65=0,"",COUNTIFS(RawData!$D$2:$D$501,A65,RawData!$C$2:$C$501,"&lt;0")/C65)</f>
        <v/>
      </c>
      <c r="G65" s="11" t="str">
        <f t="shared" si="1"/>
        <v/>
      </c>
    </row>
    <row r="66" spans="1:7" x14ac:dyDescent="0.25">
      <c r="A66" s="9">
        <f>A65+Config!$B$6</f>
        <v>46019.666666666511</v>
      </c>
      <c r="B66" s="9">
        <f>A66+Config!$B$6</f>
        <v>46019.708333333176</v>
      </c>
      <c r="C66" s="11">
        <f>COUNTIF(RawData!$D$2:$D$501,A66)</f>
        <v>0</v>
      </c>
      <c r="D66" s="8" t="str">
        <f>IF(C66=0,"",AVERAGEIF(RawData!$D$2:$D$501,A66,RawData!$B$2:$B$501))</f>
        <v/>
      </c>
      <c r="E66" s="8" t="str">
        <f>IF(C66=0,"",_xludf.MINIFS(RawData!$C$2:$C$501,RawData!$D$2:$D$501,A66))</f>
        <v/>
      </c>
      <c r="F66" s="12" t="str">
        <f>IF(C66=0,"",COUNTIFS(RawData!$D$2:$D$501,A66,RawData!$C$2:$C$501,"&lt;0")/C66)</f>
        <v/>
      </c>
      <c r="G66" s="11" t="str">
        <f t="shared" ref="G66:G97" si="2">IF(C66=0,"",MIN(2,IF(E66&lt;-10,2,IF(E66&lt;-5,1,0))+IF(D66&gt;600,1,0)))</f>
        <v/>
      </c>
    </row>
    <row r="67" spans="1:7" x14ac:dyDescent="0.25">
      <c r="A67" s="9">
        <f>A66+Config!$B$6</f>
        <v>46019.708333333176</v>
      </c>
      <c r="B67" s="9">
        <f>A67+Config!$B$6</f>
        <v>46019.74999999984</v>
      </c>
      <c r="C67" s="11">
        <f>COUNTIF(RawData!$D$2:$D$501,A67)</f>
        <v>0</v>
      </c>
      <c r="D67" s="8" t="str">
        <f>IF(C67=0,"",AVERAGEIF(RawData!$D$2:$D$501,A67,RawData!$B$2:$B$501))</f>
        <v/>
      </c>
      <c r="E67" s="8" t="str">
        <f>IF(C67=0,"",_xludf.MINIFS(RawData!$C$2:$C$501,RawData!$D$2:$D$501,A67))</f>
        <v/>
      </c>
      <c r="F67" s="12" t="str">
        <f>IF(C67=0,"",COUNTIFS(RawData!$D$2:$D$501,A67,RawData!$C$2:$C$501,"&lt;0")/C67)</f>
        <v/>
      </c>
      <c r="G67" s="11" t="str">
        <f t="shared" si="2"/>
        <v/>
      </c>
    </row>
    <row r="68" spans="1:7" x14ac:dyDescent="0.25">
      <c r="A68" s="9">
        <f>A67+Config!$B$6</f>
        <v>46019.74999999984</v>
      </c>
      <c r="B68" s="9">
        <f>A68+Config!$B$6</f>
        <v>46019.791666666504</v>
      </c>
      <c r="C68" s="11">
        <f>COUNTIF(RawData!$D$2:$D$501,A68)</f>
        <v>0</v>
      </c>
      <c r="D68" s="8" t="str">
        <f>IF(C68=0,"",AVERAGEIF(RawData!$D$2:$D$501,A68,RawData!$B$2:$B$501))</f>
        <v/>
      </c>
      <c r="E68" s="8" t="str">
        <f>IF(C68=0,"",_xludf.MINIFS(RawData!$C$2:$C$501,RawData!$D$2:$D$501,A68))</f>
        <v/>
      </c>
      <c r="F68" s="12" t="str">
        <f>IF(C68=0,"",COUNTIFS(RawData!$D$2:$D$501,A68,RawData!$C$2:$C$501,"&lt;0")/C68)</f>
        <v/>
      </c>
      <c r="G68" s="11" t="str">
        <f t="shared" si="2"/>
        <v/>
      </c>
    </row>
    <row r="69" spans="1:7" x14ac:dyDescent="0.25">
      <c r="A69" s="9">
        <f>A68+Config!$B$6</f>
        <v>46019.791666666504</v>
      </c>
      <c r="B69" s="9">
        <f>A69+Config!$B$6</f>
        <v>46019.833333333168</v>
      </c>
      <c r="C69" s="11">
        <f>COUNTIF(RawData!$D$2:$D$501,A69)</f>
        <v>0</v>
      </c>
      <c r="D69" s="8" t="str">
        <f>IF(C69=0,"",AVERAGEIF(RawData!$D$2:$D$501,A69,RawData!$B$2:$B$501))</f>
        <v/>
      </c>
      <c r="E69" s="8" t="str">
        <f>IF(C69=0,"",_xludf.MINIFS(RawData!$C$2:$C$501,RawData!$D$2:$D$501,A69))</f>
        <v/>
      </c>
      <c r="F69" s="12" t="str">
        <f>IF(C69=0,"",COUNTIFS(RawData!$D$2:$D$501,A69,RawData!$C$2:$C$501,"&lt;0")/C69)</f>
        <v/>
      </c>
      <c r="G69" s="11" t="str">
        <f t="shared" si="2"/>
        <v/>
      </c>
    </row>
    <row r="70" spans="1:7" x14ac:dyDescent="0.25">
      <c r="A70" s="9">
        <f>A69+Config!$B$6</f>
        <v>46019.833333333168</v>
      </c>
      <c r="B70" s="9">
        <f>A70+Config!$B$6</f>
        <v>46019.874999999833</v>
      </c>
      <c r="C70" s="11">
        <f>COUNTIF(RawData!$D$2:$D$501,A70)</f>
        <v>0</v>
      </c>
      <c r="D70" s="8" t="str">
        <f>IF(C70=0,"",AVERAGEIF(RawData!$D$2:$D$501,A70,RawData!$B$2:$B$501))</f>
        <v/>
      </c>
      <c r="E70" s="8" t="str">
        <f>IF(C70=0,"",_xludf.MINIFS(RawData!$C$2:$C$501,RawData!$D$2:$D$501,A70))</f>
        <v/>
      </c>
      <c r="F70" s="12" t="str">
        <f>IF(C70=0,"",COUNTIFS(RawData!$D$2:$D$501,A70,RawData!$C$2:$C$501,"&lt;0")/C70)</f>
        <v/>
      </c>
      <c r="G70" s="11" t="str">
        <f t="shared" si="2"/>
        <v/>
      </c>
    </row>
    <row r="71" spans="1:7" x14ac:dyDescent="0.25">
      <c r="A71" s="9">
        <f>A70+Config!$B$6</f>
        <v>46019.874999999833</v>
      </c>
      <c r="B71" s="9">
        <f>A71+Config!$B$6</f>
        <v>46019.916666666497</v>
      </c>
      <c r="C71" s="11">
        <f>COUNTIF(RawData!$D$2:$D$501,A71)</f>
        <v>0</v>
      </c>
      <c r="D71" s="8" t="str">
        <f>IF(C71=0,"",AVERAGEIF(RawData!$D$2:$D$501,A71,RawData!$B$2:$B$501))</f>
        <v/>
      </c>
      <c r="E71" s="8" t="str">
        <f>IF(C71=0,"",_xludf.MINIFS(RawData!$C$2:$C$501,RawData!$D$2:$D$501,A71))</f>
        <v/>
      </c>
      <c r="F71" s="12" t="str">
        <f>IF(C71=0,"",COUNTIFS(RawData!$D$2:$D$501,A71,RawData!$C$2:$C$501,"&lt;0")/C71)</f>
        <v/>
      </c>
      <c r="G71" s="11" t="str">
        <f t="shared" si="2"/>
        <v/>
      </c>
    </row>
    <row r="72" spans="1:7" x14ac:dyDescent="0.25">
      <c r="A72" s="9">
        <f>A71+Config!$B$6</f>
        <v>46019.916666666497</v>
      </c>
      <c r="B72" s="9">
        <f>A72+Config!$B$6</f>
        <v>46019.958333333161</v>
      </c>
      <c r="C72" s="11">
        <f>COUNTIF(RawData!$D$2:$D$501,A72)</f>
        <v>0</v>
      </c>
      <c r="D72" s="8" t="str">
        <f>IF(C72=0,"",AVERAGEIF(RawData!$D$2:$D$501,A72,RawData!$B$2:$B$501))</f>
        <v/>
      </c>
      <c r="E72" s="8" t="str">
        <f>IF(C72=0,"",_xludf.MINIFS(RawData!$C$2:$C$501,RawData!$D$2:$D$501,A72))</f>
        <v/>
      </c>
      <c r="F72" s="12" t="str">
        <f>IF(C72=0,"",COUNTIFS(RawData!$D$2:$D$501,A72,RawData!$C$2:$C$501,"&lt;0")/C72)</f>
        <v/>
      </c>
      <c r="G72" s="11" t="str">
        <f t="shared" si="2"/>
        <v/>
      </c>
    </row>
    <row r="73" spans="1:7" x14ac:dyDescent="0.25">
      <c r="A73" s="9">
        <f>A72+Config!$B$6</f>
        <v>46019.958333333161</v>
      </c>
      <c r="B73" s="9">
        <f>A73+Config!$B$6</f>
        <v>46019.999999999825</v>
      </c>
      <c r="C73" s="11">
        <f>COUNTIF(RawData!$D$2:$D$501,A73)</f>
        <v>0</v>
      </c>
      <c r="D73" s="8" t="str">
        <f>IF(C73=0,"",AVERAGEIF(RawData!$D$2:$D$501,A73,RawData!$B$2:$B$501))</f>
        <v/>
      </c>
      <c r="E73" s="8" t="str">
        <f>IF(C73=0,"",_xludf.MINIFS(RawData!$C$2:$C$501,RawData!$D$2:$D$501,A73))</f>
        <v/>
      </c>
      <c r="F73" s="12" t="str">
        <f>IF(C73=0,"",COUNTIFS(RawData!$D$2:$D$501,A73,RawData!$C$2:$C$501,"&lt;0")/C73)</f>
        <v/>
      </c>
      <c r="G73" s="11" t="str">
        <f t="shared" si="2"/>
        <v/>
      </c>
    </row>
    <row r="74" spans="1:7" x14ac:dyDescent="0.25">
      <c r="A74" s="9">
        <f>A73+Config!$B$6</f>
        <v>46019.999999999825</v>
      </c>
      <c r="B74" s="9">
        <f>A74+Config!$B$6</f>
        <v>46020.04166666649</v>
      </c>
      <c r="C74" s="11">
        <f>COUNTIF(RawData!$D$2:$D$501,A74)</f>
        <v>0</v>
      </c>
      <c r="D74" s="8" t="str">
        <f>IF(C74=0,"",AVERAGEIF(RawData!$D$2:$D$501,A74,RawData!$B$2:$B$501))</f>
        <v/>
      </c>
      <c r="E74" s="8" t="str">
        <f>IF(C74=0,"",_xludf.MINIFS(RawData!$C$2:$C$501,RawData!$D$2:$D$501,A74))</f>
        <v/>
      </c>
      <c r="F74" s="12" t="str">
        <f>IF(C74=0,"",COUNTIFS(RawData!$D$2:$D$501,A74,RawData!$C$2:$C$501,"&lt;0")/C74)</f>
        <v/>
      </c>
      <c r="G74" s="11" t="str">
        <f t="shared" si="2"/>
        <v/>
      </c>
    </row>
    <row r="75" spans="1:7" x14ac:dyDescent="0.25">
      <c r="A75" s="9">
        <f>A74+Config!$B$6</f>
        <v>46020.04166666649</v>
      </c>
      <c r="B75" s="9">
        <f>A75+Config!$B$6</f>
        <v>46020.083333333154</v>
      </c>
      <c r="C75" s="11">
        <f>COUNTIF(RawData!$D$2:$D$501,A75)</f>
        <v>0</v>
      </c>
      <c r="D75" s="8" t="str">
        <f>IF(C75=0,"",AVERAGEIF(RawData!$D$2:$D$501,A75,RawData!$B$2:$B$501))</f>
        <v/>
      </c>
      <c r="E75" s="8" t="str">
        <f>IF(C75=0,"",_xludf.MINIFS(RawData!$C$2:$C$501,RawData!$D$2:$D$501,A75))</f>
        <v/>
      </c>
      <c r="F75" s="12" t="str">
        <f>IF(C75=0,"",COUNTIFS(RawData!$D$2:$D$501,A75,RawData!$C$2:$C$501,"&lt;0")/C75)</f>
        <v/>
      </c>
      <c r="G75" s="11" t="str">
        <f t="shared" si="2"/>
        <v/>
      </c>
    </row>
    <row r="76" spans="1:7" x14ac:dyDescent="0.25">
      <c r="A76" s="9">
        <f>A75+Config!$B$6</f>
        <v>46020.083333333154</v>
      </c>
      <c r="B76" s="9">
        <f>A76+Config!$B$6</f>
        <v>46020.124999999818</v>
      </c>
      <c r="C76" s="11">
        <f>COUNTIF(RawData!$D$2:$D$501,A76)</f>
        <v>0</v>
      </c>
      <c r="D76" s="8" t="str">
        <f>IF(C76=0,"",AVERAGEIF(RawData!$D$2:$D$501,A76,RawData!$B$2:$B$501))</f>
        <v/>
      </c>
      <c r="E76" s="8" t="str">
        <f>IF(C76=0,"",_xludf.MINIFS(RawData!$C$2:$C$501,RawData!$D$2:$D$501,A76))</f>
        <v/>
      </c>
      <c r="F76" s="12" t="str">
        <f>IF(C76=0,"",COUNTIFS(RawData!$D$2:$D$501,A76,RawData!$C$2:$C$501,"&lt;0")/C76)</f>
        <v/>
      </c>
      <c r="G76" s="11" t="str">
        <f t="shared" si="2"/>
        <v/>
      </c>
    </row>
    <row r="77" spans="1:7" x14ac:dyDescent="0.25">
      <c r="A77" s="9">
        <f>A76+Config!$B$6</f>
        <v>46020.124999999818</v>
      </c>
      <c r="B77" s="9">
        <f>A77+Config!$B$6</f>
        <v>46020.166666666482</v>
      </c>
      <c r="C77" s="11">
        <f>COUNTIF(RawData!$D$2:$D$501,A77)</f>
        <v>0</v>
      </c>
      <c r="D77" s="8" t="str">
        <f>IF(C77=0,"",AVERAGEIF(RawData!$D$2:$D$501,A77,RawData!$B$2:$B$501))</f>
        <v/>
      </c>
      <c r="E77" s="8" t="str">
        <f>IF(C77=0,"",_xludf.MINIFS(RawData!$C$2:$C$501,RawData!$D$2:$D$501,A77))</f>
        <v/>
      </c>
      <c r="F77" s="12" t="str">
        <f>IF(C77=0,"",COUNTIFS(RawData!$D$2:$D$501,A77,RawData!$C$2:$C$501,"&lt;0")/C77)</f>
        <v/>
      </c>
      <c r="G77" s="11" t="str">
        <f t="shared" si="2"/>
        <v/>
      </c>
    </row>
    <row r="78" spans="1:7" x14ac:dyDescent="0.25">
      <c r="A78" s="9">
        <f>A77+Config!$B$6</f>
        <v>46020.166666666482</v>
      </c>
      <c r="B78" s="9">
        <f>A78+Config!$B$6</f>
        <v>46020.208333333147</v>
      </c>
      <c r="C78" s="11">
        <f>COUNTIF(RawData!$D$2:$D$501,A78)</f>
        <v>0</v>
      </c>
      <c r="D78" s="8" t="str">
        <f>IF(C78=0,"",AVERAGEIF(RawData!$D$2:$D$501,A78,RawData!$B$2:$B$501))</f>
        <v/>
      </c>
      <c r="E78" s="8" t="str">
        <f>IF(C78=0,"",_xludf.MINIFS(RawData!$C$2:$C$501,RawData!$D$2:$D$501,A78))</f>
        <v/>
      </c>
      <c r="F78" s="12" t="str">
        <f>IF(C78=0,"",COUNTIFS(RawData!$D$2:$D$501,A78,RawData!$C$2:$C$501,"&lt;0")/C78)</f>
        <v/>
      </c>
      <c r="G78" s="11" t="str">
        <f t="shared" si="2"/>
        <v/>
      </c>
    </row>
    <row r="79" spans="1:7" x14ac:dyDescent="0.25">
      <c r="A79" s="9">
        <f>A78+Config!$B$6</f>
        <v>46020.208333333147</v>
      </c>
      <c r="B79" s="9">
        <f>A79+Config!$B$6</f>
        <v>46020.249999999811</v>
      </c>
      <c r="C79" s="11">
        <f>COUNTIF(RawData!$D$2:$D$501,A79)</f>
        <v>0</v>
      </c>
      <c r="D79" s="8" t="str">
        <f>IF(C79=0,"",AVERAGEIF(RawData!$D$2:$D$501,A79,RawData!$B$2:$B$501))</f>
        <v/>
      </c>
      <c r="E79" s="8" t="str">
        <f>IF(C79=0,"",_xludf.MINIFS(RawData!$C$2:$C$501,RawData!$D$2:$D$501,A79))</f>
        <v/>
      </c>
      <c r="F79" s="12" t="str">
        <f>IF(C79=0,"",COUNTIFS(RawData!$D$2:$D$501,A79,RawData!$C$2:$C$501,"&lt;0")/C79)</f>
        <v/>
      </c>
      <c r="G79" s="11" t="str">
        <f t="shared" si="2"/>
        <v/>
      </c>
    </row>
    <row r="80" spans="1:7" x14ac:dyDescent="0.25">
      <c r="A80" s="9">
        <f>A79+Config!$B$6</f>
        <v>46020.249999999811</v>
      </c>
      <c r="B80" s="9">
        <f>A80+Config!$B$6</f>
        <v>46020.291666666475</v>
      </c>
      <c r="C80" s="11">
        <f>COUNTIF(RawData!$D$2:$D$501,A80)</f>
        <v>0</v>
      </c>
      <c r="D80" s="8" t="str">
        <f>IF(C80=0,"",AVERAGEIF(RawData!$D$2:$D$501,A80,RawData!$B$2:$B$501))</f>
        <v/>
      </c>
      <c r="E80" s="8" t="str">
        <f>IF(C80=0,"",_xludf.MINIFS(RawData!$C$2:$C$501,RawData!$D$2:$D$501,A80))</f>
        <v/>
      </c>
      <c r="F80" s="12" t="str">
        <f>IF(C80=0,"",COUNTIFS(RawData!$D$2:$D$501,A80,RawData!$C$2:$C$501,"&lt;0")/C80)</f>
        <v/>
      </c>
      <c r="G80" s="11" t="str">
        <f t="shared" si="2"/>
        <v/>
      </c>
    </row>
    <row r="81" spans="1:7" x14ac:dyDescent="0.25">
      <c r="A81" s="9">
        <f>A80+Config!$B$6</f>
        <v>46020.291666666475</v>
      </c>
      <c r="B81" s="9">
        <f>A81+Config!$B$6</f>
        <v>46020.333333333139</v>
      </c>
      <c r="C81" s="11">
        <f>COUNTIF(RawData!$D$2:$D$501,A81)</f>
        <v>0</v>
      </c>
      <c r="D81" s="8" t="str">
        <f>IF(C81=0,"",AVERAGEIF(RawData!$D$2:$D$501,A81,RawData!$B$2:$B$501))</f>
        <v/>
      </c>
      <c r="E81" s="8" t="str">
        <f>IF(C81=0,"",_xludf.MINIFS(RawData!$C$2:$C$501,RawData!$D$2:$D$501,A81))</f>
        <v/>
      </c>
      <c r="F81" s="12" t="str">
        <f>IF(C81=0,"",COUNTIFS(RawData!$D$2:$D$501,A81,RawData!$C$2:$C$501,"&lt;0")/C81)</f>
        <v/>
      </c>
      <c r="G81" s="11" t="str">
        <f t="shared" si="2"/>
        <v/>
      </c>
    </row>
    <row r="82" spans="1:7" x14ac:dyDescent="0.25">
      <c r="A82" s="9">
        <f>A81+Config!$B$6</f>
        <v>46020.333333333139</v>
      </c>
      <c r="B82" s="9">
        <f>A82+Config!$B$6</f>
        <v>46020.374999999804</v>
      </c>
      <c r="C82" s="11">
        <f>COUNTIF(RawData!$D$2:$D$501,A82)</f>
        <v>0</v>
      </c>
      <c r="D82" s="8" t="str">
        <f>IF(C82=0,"",AVERAGEIF(RawData!$D$2:$D$501,A82,RawData!$B$2:$B$501))</f>
        <v/>
      </c>
      <c r="E82" s="8" t="str">
        <f>IF(C82=0,"",_xludf.MINIFS(RawData!$C$2:$C$501,RawData!$D$2:$D$501,A82))</f>
        <v/>
      </c>
      <c r="F82" s="12" t="str">
        <f>IF(C82=0,"",COUNTIFS(RawData!$D$2:$D$501,A82,RawData!$C$2:$C$501,"&lt;0")/C82)</f>
        <v/>
      </c>
      <c r="G82" s="11" t="str">
        <f t="shared" si="2"/>
        <v/>
      </c>
    </row>
    <row r="83" spans="1:7" x14ac:dyDescent="0.25">
      <c r="A83" s="9">
        <f>A82+Config!$B$6</f>
        <v>46020.374999999804</v>
      </c>
      <c r="B83" s="9">
        <f>A83+Config!$B$6</f>
        <v>46020.416666666468</v>
      </c>
      <c r="C83" s="11">
        <f>COUNTIF(RawData!$D$2:$D$501,A83)</f>
        <v>0</v>
      </c>
      <c r="D83" s="8" t="str">
        <f>IF(C83=0,"",AVERAGEIF(RawData!$D$2:$D$501,A83,RawData!$B$2:$B$501))</f>
        <v/>
      </c>
      <c r="E83" s="8" t="str">
        <f>IF(C83=0,"",_xludf.MINIFS(RawData!$C$2:$C$501,RawData!$D$2:$D$501,A83))</f>
        <v/>
      </c>
      <c r="F83" s="12" t="str">
        <f>IF(C83=0,"",COUNTIFS(RawData!$D$2:$D$501,A83,RawData!$C$2:$C$501,"&lt;0")/C83)</f>
        <v/>
      </c>
      <c r="G83" s="11" t="str">
        <f t="shared" si="2"/>
        <v/>
      </c>
    </row>
    <row r="84" spans="1:7" x14ac:dyDescent="0.25">
      <c r="A84" s="9">
        <f>A83+Config!$B$6</f>
        <v>46020.416666666468</v>
      </c>
      <c r="B84" s="9">
        <f>A84+Config!$B$6</f>
        <v>46020.458333333132</v>
      </c>
      <c r="C84" s="11">
        <f>COUNTIF(RawData!$D$2:$D$501,A84)</f>
        <v>0</v>
      </c>
      <c r="D84" s="8" t="str">
        <f>IF(C84=0,"",AVERAGEIF(RawData!$D$2:$D$501,A84,RawData!$B$2:$B$501))</f>
        <v/>
      </c>
      <c r="E84" s="8" t="str">
        <f>IF(C84=0,"",_xludf.MINIFS(RawData!$C$2:$C$501,RawData!$D$2:$D$501,A84))</f>
        <v/>
      </c>
      <c r="F84" s="12" t="str">
        <f>IF(C84=0,"",COUNTIFS(RawData!$D$2:$D$501,A84,RawData!$C$2:$C$501,"&lt;0")/C84)</f>
        <v/>
      </c>
      <c r="G84" s="11" t="str">
        <f t="shared" si="2"/>
        <v/>
      </c>
    </row>
    <row r="85" spans="1:7" x14ac:dyDescent="0.25">
      <c r="A85" s="9">
        <f>A84+Config!$B$6</f>
        <v>46020.458333333132</v>
      </c>
      <c r="B85" s="9">
        <f>A85+Config!$B$6</f>
        <v>46020.499999999796</v>
      </c>
      <c r="C85" s="11">
        <f>COUNTIF(RawData!$D$2:$D$501,A85)</f>
        <v>0</v>
      </c>
      <c r="D85" s="8" t="str">
        <f>IF(C85=0,"",AVERAGEIF(RawData!$D$2:$D$501,A85,RawData!$B$2:$B$501))</f>
        <v/>
      </c>
      <c r="E85" s="8" t="str">
        <f>IF(C85=0,"",_xludf.MINIFS(RawData!$C$2:$C$501,RawData!$D$2:$D$501,A85))</f>
        <v/>
      </c>
      <c r="F85" s="12" t="str">
        <f>IF(C85=0,"",COUNTIFS(RawData!$D$2:$D$501,A85,RawData!$C$2:$C$501,"&lt;0")/C85)</f>
        <v/>
      </c>
      <c r="G85" s="11" t="str">
        <f t="shared" si="2"/>
        <v/>
      </c>
    </row>
    <row r="86" spans="1:7" x14ac:dyDescent="0.25">
      <c r="A86" s="9">
        <f>A85+Config!$B$6</f>
        <v>46020.499999999796</v>
      </c>
      <c r="B86" s="9">
        <f>A86+Config!$B$6</f>
        <v>46020.541666666461</v>
      </c>
      <c r="C86" s="11">
        <f>COUNTIF(RawData!$D$2:$D$501,A86)</f>
        <v>0</v>
      </c>
      <c r="D86" s="8" t="str">
        <f>IF(C86=0,"",AVERAGEIF(RawData!$D$2:$D$501,A86,RawData!$B$2:$B$501))</f>
        <v/>
      </c>
      <c r="E86" s="8" t="str">
        <f>IF(C86=0,"",_xludf.MINIFS(RawData!$C$2:$C$501,RawData!$D$2:$D$501,A86))</f>
        <v/>
      </c>
      <c r="F86" s="12" t="str">
        <f>IF(C86=0,"",COUNTIFS(RawData!$D$2:$D$501,A86,RawData!$C$2:$C$501,"&lt;0")/C86)</f>
        <v/>
      </c>
      <c r="G86" s="11" t="str">
        <f t="shared" si="2"/>
        <v/>
      </c>
    </row>
    <row r="87" spans="1:7" x14ac:dyDescent="0.25">
      <c r="A87" s="9">
        <f>A86+Config!$B$6</f>
        <v>46020.541666666461</v>
      </c>
      <c r="B87" s="9">
        <f>A87+Config!$B$6</f>
        <v>46020.583333333125</v>
      </c>
      <c r="C87" s="11">
        <f>COUNTIF(RawData!$D$2:$D$501,A87)</f>
        <v>0</v>
      </c>
      <c r="D87" s="8" t="str">
        <f>IF(C87=0,"",AVERAGEIF(RawData!$D$2:$D$501,A87,RawData!$B$2:$B$501))</f>
        <v/>
      </c>
      <c r="E87" s="8" t="str">
        <f>IF(C87=0,"",_xludf.MINIFS(RawData!$C$2:$C$501,RawData!$D$2:$D$501,A87))</f>
        <v/>
      </c>
      <c r="F87" s="12" t="str">
        <f>IF(C87=0,"",COUNTIFS(RawData!$D$2:$D$501,A87,RawData!$C$2:$C$501,"&lt;0")/C87)</f>
        <v/>
      </c>
      <c r="G87" s="11" t="str">
        <f t="shared" si="2"/>
        <v/>
      </c>
    </row>
    <row r="88" spans="1:7" x14ac:dyDescent="0.25">
      <c r="A88" s="9">
        <f>A87+Config!$B$6</f>
        <v>46020.583333333125</v>
      </c>
      <c r="B88" s="9">
        <f>A88+Config!$B$6</f>
        <v>46020.624999999789</v>
      </c>
      <c r="C88" s="11">
        <f>COUNTIF(RawData!$D$2:$D$501,A88)</f>
        <v>0</v>
      </c>
      <c r="D88" s="8" t="str">
        <f>IF(C88=0,"",AVERAGEIF(RawData!$D$2:$D$501,A88,RawData!$B$2:$B$501))</f>
        <v/>
      </c>
      <c r="E88" s="8" t="str">
        <f>IF(C88=0,"",_xludf.MINIFS(RawData!$C$2:$C$501,RawData!$D$2:$D$501,A88))</f>
        <v/>
      </c>
      <c r="F88" s="12" t="str">
        <f>IF(C88=0,"",COUNTIFS(RawData!$D$2:$D$501,A88,RawData!$C$2:$C$501,"&lt;0")/C88)</f>
        <v/>
      </c>
      <c r="G88" s="11" t="str">
        <f t="shared" si="2"/>
        <v/>
      </c>
    </row>
    <row r="89" spans="1:7" x14ac:dyDescent="0.25">
      <c r="A89" s="9">
        <f>A88+Config!$B$6</f>
        <v>46020.624999999789</v>
      </c>
      <c r="B89" s="9">
        <f>A89+Config!$B$6</f>
        <v>46020.666666666453</v>
      </c>
      <c r="C89" s="11">
        <f>COUNTIF(RawData!$D$2:$D$501,A89)</f>
        <v>0</v>
      </c>
      <c r="D89" s="8" t="str">
        <f>IF(C89=0,"",AVERAGEIF(RawData!$D$2:$D$501,A89,RawData!$B$2:$B$501))</f>
        <v/>
      </c>
      <c r="E89" s="8" t="str">
        <f>IF(C89=0,"",_xludf.MINIFS(RawData!$C$2:$C$501,RawData!$D$2:$D$501,A89))</f>
        <v/>
      </c>
      <c r="F89" s="12" t="str">
        <f>IF(C89=0,"",COUNTIFS(RawData!$D$2:$D$501,A89,RawData!$C$2:$C$501,"&lt;0")/C89)</f>
        <v/>
      </c>
      <c r="G89" s="11" t="str">
        <f t="shared" si="2"/>
        <v/>
      </c>
    </row>
    <row r="90" spans="1:7" x14ac:dyDescent="0.25">
      <c r="A90" s="9">
        <f>A89+Config!$B$6</f>
        <v>46020.666666666453</v>
      </c>
      <c r="B90" s="9">
        <f>A90+Config!$B$6</f>
        <v>46020.708333333117</v>
      </c>
      <c r="C90" s="11">
        <f>COUNTIF(RawData!$D$2:$D$501,A90)</f>
        <v>0</v>
      </c>
      <c r="D90" s="8" t="str">
        <f>IF(C90=0,"",AVERAGEIF(RawData!$D$2:$D$501,A90,RawData!$B$2:$B$501))</f>
        <v/>
      </c>
      <c r="E90" s="8" t="str">
        <f>IF(C90=0,"",_xludf.MINIFS(RawData!$C$2:$C$501,RawData!$D$2:$D$501,A90))</f>
        <v/>
      </c>
      <c r="F90" s="12" t="str">
        <f>IF(C90=0,"",COUNTIFS(RawData!$D$2:$D$501,A90,RawData!$C$2:$C$501,"&lt;0")/C90)</f>
        <v/>
      </c>
      <c r="G90" s="11" t="str">
        <f t="shared" si="2"/>
        <v/>
      </c>
    </row>
    <row r="91" spans="1:7" x14ac:dyDescent="0.25">
      <c r="A91" s="9">
        <f>A90+Config!$B$6</f>
        <v>46020.708333333117</v>
      </c>
      <c r="B91" s="9">
        <f>A91+Config!$B$6</f>
        <v>46020.749999999782</v>
      </c>
      <c r="C91" s="11">
        <f>COUNTIF(RawData!$D$2:$D$501,A91)</f>
        <v>0</v>
      </c>
      <c r="D91" s="8" t="str">
        <f>IF(C91=0,"",AVERAGEIF(RawData!$D$2:$D$501,A91,RawData!$B$2:$B$501))</f>
        <v/>
      </c>
      <c r="E91" s="8" t="str">
        <f>IF(C91=0,"",_xludf.MINIFS(RawData!$C$2:$C$501,RawData!$D$2:$D$501,A91))</f>
        <v/>
      </c>
      <c r="F91" s="12" t="str">
        <f>IF(C91=0,"",COUNTIFS(RawData!$D$2:$D$501,A91,RawData!$C$2:$C$501,"&lt;0")/C91)</f>
        <v/>
      </c>
      <c r="G91" s="11" t="str">
        <f t="shared" si="2"/>
        <v/>
      </c>
    </row>
    <row r="92" spans="1:7" x14ac:dyDescent="0.25">
      <c r="A92" s="9">
        <f>A91+Config!$B$6</f>
        <v>46020.749999999782</v>
      </c>
      <c r="B92" s="9">
        <f>A92+Config!$B$6</f>
        <v>46020.791666666446</v>
      </c>
      <c r="C92" s="11">
        <f>COUNTIF(RawData!$D$2:$D$501,A92)</f>
        <v>0</v>
      </c>
      <c r="D92" s="8" t="str">
        <f>IF(C92=0,"",AVERAGEIF(RawData!$D$2:$D$501,A92,RawData!$B$2:$B$501))</f>
        <v/>
      </c>
      <c r="E92" s="8" t="str">
        <f>IF(C92=0,"",_xludf.MINIFS(RawData!$C$2:$C$501,RawData!$D$2:$D$501,A92))</f>
        <v/>
      </c>
      <c r="F92" s="12" t="str">
        <f>IF(C92=0,"",COUNTIFS(RawData!$D$2:$D$501,A92,RawData!$C$2:$C$501,"&lt;0")/C92)</f>
        <v/>
      </c>
      <c r="G92" s="11" t="str">
        <f t="shared" si="2"/>
        <v/>
      </c>
    </row>
    <row r="93" spans="1:7" x14ac:dyDescent="0.25">
      <c r="A93" s="9">
        <f>A92+Config!$B$6</f>
        <v>46020.791666666446</v>
      </c>
      <c r="B93" s="9">
        <f>A93+Config!$B$6</f>
        <v>46020.83333333311</v>
      </c>
      <c r="C93" s="11">
        <f>COUNTIF(RawData!$D$2:$D$501,A93)</f>
        <v>0</v>
      </c>
      <c r="D93" s="8" t="str">
        <f>IF(C93=0,"",AVERAGEIF(RawData!$D$2:$D$501,A93,RawData!$B$2:$B$501))</f>
        <v/>
      </c>
      <c r="E93" s="8" t="str">
        <f>IF(C93=0,"",_xludf.MINIFS(RawData!$C$2:$C$501,RawData!$D$2:$D$501,A93))</f>
        <v/>
      </c>
      <c r="F93" s="12" t="str">
        <f>IF(C93=0,"",COUNTIFS(RawData!$D$2:$D$501,A93,RawData!$C$2:$C$501,"&lt;0")/C93)</f>
        <v/>
      </c>
      <c r="G93" s="11" t="str">
        <f t="shared" si="2"/>
        <v/>
      </c>
    </row>
    <row r="94" spans="1:7" x14ac:dyDescent="0.25">
      <c r="A94" s="9">
        <f>A93+Config!$B$6</f>
        <v>46020.83333333311</v>
      </c>
      <c r="B94" s="9">
        <f>A94+Config!$B$6</f>
        <v>46020.874999999774</v>
      </c>
      <c r="C94" s="11">
        <f>COUNTIF(RawData!$D$2:$D$501,A94)</f>
        <v>0</v>
      </c>
      <c r="D94" s="8" t="str">
        <f>IF(C94=0,"",AVERAGEIF(RawData!$D$2:$D$501,A94,RawData!$B$2:$B$501))</f>
        <v/>
      </c>
      <c r="E94" s="8" t="str">
        <f>IF(C94=0,"",_xludf.MINIFS(RawData!$C$2:$C$501,RawData!$D$2:$D$501,A94))</f>
        <v/>
      </c>
      <c r="F94" s="12" t="str">
        <f>IF(C94=0,"",COUNTIFS(RawData!$D$2:$D$501,A94,RawData!$C$2:$C$501,"&lt;0")/C94)</f>
        <v/>
      </c>
      <c r="G94" s="11" t="str">
        <f t="shared" si="2"/>
        <v/>
      </c>
    </row>
    <row r="95" spans="1:7" x14ac:dyDescent="0.25">
      <c r="A95" s="9">
        <f>A94+Config!$B$6</f>
        <v>46020.874999999774</v>
      </c>
      <c r="B95" s="9">
        <f>A95+Config!$B$6</f>
        <v>46020.916666666439</v>
      </c>
      <c r="C95" s="11">
        <f>COUNTIF(RawData!$D$2:$D$501,A95)</f>
        <v>0</v>
      </c>
      <c r="D95" s="8" t="str">
        <f>IF(C95=0,"",AVERAGEIF(RawData!$D$2:$D$501,A95,RawData!$B$2:$B$501))</f>
        <v/>
      </c>
      <c r="E95" s="8" t="str">
        <f>IF(C95=0,"",_xludf.MINIFS(RawData!$C$2:$C$501,RawData!$D$2:$D$501,A95))</f>
        <v/>
      </c>
      <c r="F95" s="12" t="str">
        <f>IF(C95=0,"",COUNTIFS(RawData!$D$2:$D$501,A95,RawData!$C$2:$C$501,"&lt;0")/C95)</f>
        <v/>
      </c>
      <c r="G95" s="11" t="str">
        <f t="shared" si="2"/>
        <v/>
      </c>
    </row>
    <row r="96" spans="1:7" x14ac:dyDescent="0.25">
      <c r="A96" s="9">
        <f>A95+Config!$B$6</f>
        <v>46020.916666666439</v>
      </c>
      <c r="B96" s="9">
        <f>A96+Config!$B$6</f>
        <v>46020.958333333103</v>
      </c>
      <c r="C96" s="11">
        <f>COUNTIF(RawData!$D$2:$D$501,A96)</f>
        <v>0</v>
      </c>
      <c r="D96" s="8" t="str">
        <f>IF(C96=0,"",AVERAGEIF(RawData!$D$2:$D$501,A96,RawData!$B$2:$B$501))</f>
        <v/>
      </c>
      <c r="E96" s="8" t="str">
        <f>IF(C96=0,"",_xludf.MINIFS(RawData!$C$2:$C$501,RawData!$D$2:$D$501,A96))</f>
        <v/>
      </c>
      <c r="F96" s="12" t="str">
        <f>IF(C96=0,"",COUNTIFS(RawData!$D$2:$D$501,A96,RawData!$C$2:$C$501,"&lt;0")/C96)</f>
        <v/>
      </c>
      <c r="G96" s="11" t="str">
        <f t="shared" si="2"/>
        <v/>
      </c>
    </row>
    <row r="97" spans="1:7" x14ac:dyDescent="0.25">
      <c r="A97" s="9">
        <f>A96+Config!$B$6</f>
        <v>46020.958333333103</v>
      </c>
      <c r="B97" s="9">
        <f>A97+Config!$B$6</f>
        <v>46020.999999999767</v>
      </c>
      <c r="C97" s="11">
        <f>COUNTIF(RawData!$D$2:$D$501,A97)</f>
        <v>0</v>
      </c>
      <c r="D97" s="8" t="str">
        <f>IF(C97=0,"",AVERAGEIF(RawData!$D$2:$D$501,A97,RawData!$B$2:$B$501))</f>
        <v/>
      </c>
      <c r="E97" s="8" t="str">
        <f>IF(C97=0,"",_xludf.MINIFS(RawData!$C$2:$C$501,RawData!$D$2:$D$501,A97))</f>
        <v/>
      </c>
      <c r="F97" s="12" t="str">
        <f>IF(C97=0,"",COUNTIFS(RawData!$D$2:$D$501,A97,RawData!$C$2:$C$501,"&lt;0")/C97)</f>
        <v/>
      </c>
      <c r="G97" s="11" t="str">
        <f t="shared" si="2"/>
        <v/>
      </c>
    </row>
  </sheetData>
  <conditionalFormatting sqref="F2:F97">
    <cfRule type="colorScale" priority="4">
      <colorScale>
        <cfvo type="num" val="0"/>
        <cfvo type="num" val="0.25"/>
        <cfvo type="num" val="0.75"/>
        <color rgb="FFE2EFDA"/>
        <color rgb="FFFFF2CC"/>
        <color rgb="FFF8CBAD"/>
      </colorScale>
    </cfRule>
  </conditionalFormatting>
  <conditionalFormatting sqref="G2:G97">
    <cfRule type="cellIs" dxfId="2" priority="1" operator="equal">
      <formula>2</formula>
    </cfRule>
    <cfRule type="cellIs" dxfId="1" priority="2" operator="equal">
      <formula>1</formula>
    </cfRule>
    <cfRule type="cellIs" dxfId="0" priority="3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3</vt:i4>
      </vt:variant>
    </vt:vector>
  </HeadingPairs>
  <TitlesOfParts>
    <vt:vector size="3" baseType="lpstr">
      <vt:lpstr>Config</vt:lpstr>
      <vt:lpstr>RawData</vt:lpstr>
      <vt:lpstr>Hourly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Pasi Laakkonen</cp:lastModifiedBy>
  <dcterms:modified xsi:type="dcterms:W3CDTF">2025-12-26T06:03:53Z</dcterms:modified>
</cp:coreProperties>
</file>